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Centrois\Mamah\Jual di Lynkid\"/>
    </mc:Choice>
  </mc:AlternateContent>
  <xr:revisionPtr revIDLastSave="0" documentId="13_ncr:1_{E94FA6B0-D5B8-4321-B187-8F6FD91337DE}" xr6:coauthVersionLast="47" xr6:coauthVersionMax="47" xr10:uidLastSave="{00000000-0000-0000-0000-000000000000}"/>
  <bookViews>
    <workbookView xWindow="-120" yWindow="-120" windowWidth="29040" windowHeight="15720" xr2:uid="{2882F056-452C-40A2-84B5-1A7E1DAFDCB0}"/>
  </bookViews>
  <sheets>
    <sheet name="Judul" sheetId="2" r:id="rId1"/>
    <sheet name="Reviu Dokumen" sheetId="1" r:id="rId2"/>
    <sheet name="Score Dimensi" sheetId="3" r:id="rId3"/>
    <sheet name="Score RMI" sheetId="4" r:id="rId4"/>
    <sheet name="Keterangan Pengisian" sheetId="5" r:id="rId5"/>
  </sheets>
  <definedNames>
    <definedName name="_xlnm.Print_Titles" localSheetId="1">'Reviu Dokumen'!$2:$2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4" i="3" l="1"/>
  <c r="H43" i="3"/>
  <c r="I43" i="3" s="1"/>
  <c r="E39" i="4" s="1"/>
  <c r="H42" i="3"/>
  <c r="H41" i="3"/>
  <c r="H40" i="3"/>
  <c r="H39" i="3"/>
  <c r="H38" i="3"/>
  <c r="H37" i="3"/>
  <c r="H36" i="3"/>
  <c r="I36" i="3" s="1"/>
  <c r="E38" i="4" s="1"/>
  <c r="H35" i="3"/>
  <c r="H34" i="3"/>
  <c r="H33" i="3"/>
  <c r="H32" i="3"/>
  <c r="H31" i="3"/>
  <c r="H30" i="3"/>
  <c r="H28" i="3"/>
  <c r="H29" i="3"/>
  <c r="H27" i="3"/>
  <c r="H26" i="3"/>
  <c r="H25" i="3"/>
  <c r="H24" i="3"/>
  <c r="H23" i="3"/>
  <c r="H22" i="3"/>
  <c r="I22" i="3" s="1"/>
  <c r="E37" i="4" s="1"/>
  <c r="H21" i="3"/>
  <c r="H20" i="3"/>
  <c r="H19" i="3"/>
  <c r="H18" i="3"/>
  <c r="H17" i="3"/>
  <c r="H16" i="3"/>
  <c r="H15" i="3"/>
  <c r="H14" i="3"/>
  <c r="H13" i="3"/>
  <c r="H12" i="3"/>
  <c r="H11" i="3"/>
  <c r="H10" i="3"/>
  <c r="H9" i="3"/>
  <c r="H8" i="3"/>
  <c r="H7" i="3"/>
  <c r="H6" i="3"/>
  <c r="I6" i="3" s="1"/>
  <c r="E36" i="4" s="1"/>
  <c r="H5" i="3"/>
  <c r="H4" i="3"/>
  <c r="H3" i="3"/>
  <c r="I46" i="3" s="1"/>
  <c r="F40" i="4" s="1"/>
  <c r="N48" i="4" s="1"/>
  <c r="M45" i="4"/>
  <c r="M44" i="4"/>
  <c r="N46" i="4" l="1"/>
  <c r="I3" i="3"/>
  <c r="E35" i="4" s="1"/>
</calcChain>
</file>

<file path=xl/sharedStrings.xml><?xml version="1.0" encoding="utf-8"?>
<sst xmlns="http://schemas.openxmlformats.org/spreadsheetml/2006/main" count="1167" uniqueCount="765">
  <si>
    <t>SUB DIMENSI</t>
  </si>
  <si>
    <t>PARAMETER</t>
  </si>
  <si>
    <t>KRITERIA PENILAIAN</t>
  </si>
  <si>
    <t>SCREEN SHOOT DOKUMEN</t>
  </si>
  <si>
    <t xml:space="preserve">Budaya Risiko </t>
  </si>
  <si>
    <t>a</t>
  </si>
  <si>
    <t>Telah ada program penanaman budaya risiko yang sedang dijalankan (misal risk awards, sosialisasi, risk townhall, dan sebagainya) dan terdapat program sadar risiko, saat ini dilakukan secara rutin dan lebih sering 
(lebih dari satu kali dalam setahun).</t>
  </si>
  <si>
    <t>b</t>
  </si>
  <si>
    <t xml:space="preserve">Tanggung jawab pengembangan budaya risiko secara jelas diemban dan tercantum dalam uraian jabatan tidak hanya untuk Lini Kedua, tetapi juga di semua lini (khususnya 
yang memegang posisi manajerial). </t>
  </si>
  <si>
    <t>c</t>
  </si>
  <si>
    <t>d</t>
  </si>
  <si>
    <t xml:space="preserve">Budaya risiko menjadi bagian integral dari budaya perusahaan. Budaya risiko tercantum pada kebijakan budaya kerja yang disosialisasi kan di perusahaan, dan budaya ini tertanam di seluruh lini perusahaan dimulai dengan penegasan dari jajaran manajemen, diperkuat dengan langkah nyata (yang juga dapat digunakan sebagai kriteria evaluasi kinerja pegawai): 
o  Cepat mengantisipasi potensi risiko dan menanggapinya dengan tepat. 
o  Menyeimbangkan target jangka pendek dan risiko jangka panjang.
o  Pembahasan risiko yang sulit tetap dilakukan secara konstruktif 
o  Mendukung pelaksanaan inisiatif Manajemen Risiko dan secara ketat menerapkan pedoman Manajemen Risiko 
o  Resiliensi (contohnya resiliensi operasional, tanggap merespon peristiwa yang merugikan, dan sebagainya, dengan memberi penekanan baik dalam penyusunan strategi maupun dalam pelaksanaannya) </t>
  </si>
  <si>
    <t>e</t>
  </si>
  <si>
    <t>f</t>
  </si>
  <si>
    <t>g</t>
  </si>
  <si>
    <t>Telah ada bukti yang jelas atas kinerja implementasi program budaya risiko, di antaranya: 
o  Bukti perbaikan indikator utama berkaitan dengan budaya risiko perusahaan, di antaranya penurunan jumlah kasus kecurangan internal, korupsi, dan pelanggaran kode etika pegawai, beserta penurunan jumlah kerugian dari kasus pelanggaran tersebut. 
o  Penyelesaian penuh program budaya risiko bagi pegawai yang telah direncana kan dalam periode pelaporan.</t>
  </si>
  <si>
    <t xml:space="preserve">Kapabilitas Risiko </t>
  </si>
  <si>
    <t>Peran penilaian RMI dalam upaya peningkatan praktik manajemen risiko.</t>
  </si>
  <si>
    <t>Internalisasi budaya risiko dalam budaya perusahaan.</t>
  </si>
  <si>
    <t xml:space="preserve">Telah ada Penilaian RMI yang telah diformalisasikan ke dalam kebijakan Risiko perusahaan </t>
  </si>
  <si>
    <t xml:space="preserve">Penilaian RMI dilakukan secara rutin (setiap tahun) dan telah dilaksanakan dengan baik di level Holding dan setiap anak perusahaan (jika relevan) </t>
  </si>
  <si>
    <t xml:space="preserve">Penilaian RMI mencakup seluruh Dimensi (budaya dan kapabilitas Risiko, organisasi dan tata kelola Risiko, kerangka Risiko dan kepatuhan, proses dan kontrol Risiko, serta model, data, dan teknologi Risiko) </t>
  </si>
  <si>
    <t xml:space="preserve">Telah ada rencana perbaikan atas hasil Penilaian RMI dengan tindak lanjut yang jelas (terdapat inisiatif mendetail dengan penanggung jawab, lini masa implementasi terperinci) </t>
  </si>
  <si>
    <t xml:space="preserve">Telah ada sosialisasi atas hasil Penilaian RMI dan pemantauan progres tindak lanjut atas rekomendasi Penilaian RMI yang terdokumentasi dengan baik kepada Direksi dan Dewan  Komisaris serta pemangku kepentingan terkait (misal semua personel Manajemen Risiko, beserta personel Lini Pertama/Lini Ketiga terkait) untuk memper-kuat kepemilikan kematangan Risiko di antara semua pihak yang berkepentingan. </t>
  </si>
  <si>
    <t>Telah ada bukti yang jelas atas kinerja implementasi rekomendasi Penilaian RMI, di antaranya: 
o Peningkatan skor RMI secara year-on-year,  baik di level Holding maupun anak perusahaan (jika relevan). 
o Inisiatif dan rencana tindakan perbaikan dilaksanakan sepenuhnya (100%) selama periode pelaporan sesuai dengan peta jalan dan lini masa yang telah disusun.</t>
  </si>
  <si>
    <t xml:space="preserve">Program peningkatan keahlian risiko </t>
  </si>
  <si>
    <t>Tingkat kehadiran pelatihan di atas 95% dari jumlah peserta yang terdaftar.</t>
  </si>
  <si>
    <t>Topik program bersifat komprehensif (mencakup seluruh Dimensi manajemen risiko seperti budaya dan kapabilitas Risiko, organisasi dan tata kelola Risiko, kerangka 
Risiko dan kepatuhan, proses dan kontrol 
Risiko, serta model, data, dan teknologi Risiko).</t>
  </si>
  <si>
    <t>Program disesuaikan dengan tingkat keahlian/jabatan, khususnya untuk personel risiko dan anggota Dewan Komisaris/Direksi.</t>
  </si>
  <si>
    <t>Program dapat diakses oleh semua pegawai.</t>
  </si>
  <si>
    <t>Telah ada program peningkatan keahlian 
risiko.</t>
  </si>
  <si>
    <t>Telah dilakukan verifikasi/ audit Penilaian RMI oleh pihak independen (misal audit internal, atau tinjauan oleh pihak eksternal independen) sebagai “check-and-balance” untuk meminimalisir potensi bias dalam penilaian.</t>
  </si>
  <si>
    <t>Telah ada evaluasi rutin yang dilakukan minimal 1 kali per tahun terhadap peningkatan budaya risiko (misal survei budaya risiko) termasuk mengumpulkan masukan dari pegawai untuk pengembangan program budaya risiko.</t>
  </si>
  <si>
    <t xml:space="preserve">Program bersifat wajib dan rutin (paling sedikit satu kali dalam setahun), dan telah diterapkan sanksi untuk ketidakhadiran. </t>
  </si>
  <si>
    <t xml:space="preserve">Kurikulum ditinjau secara rutin dan formal berdasarkan kebutuhan pelatihan pegawai, serta melalui proses pembaruan setiap tahun untuk memastikan kualitas nya dan diperbarui agar sesuai dengan risiko-risiko utama dan praktik terbaik Manajemen Risiko (misal terus diperbarui dengan standar internasional terkini). </t>
  </si>
  <si>
    <t>h</t>
  </si>
  <si>
    <t>i</t>
  </si>
  <si>
    <t>Telah dilakukan analisis untuk menilai keberhasilan/ruang perbaikan program, termasuk area-area di mana pegawai belum menunjukkan kinerja yang baik dan membutuh kan pelatihan/tes lebih lanjut pada siklus pelatihan berikutnya.</t>
  </si>
  <si>
    <t xml:space="preserve">Telah ada “feedback-loop”/ pengumpulan feedback terdokumentasi dari pegawai yang telah menerima pelatihan risiko, untuk menilai manfaat dari pelatihan risiko terhadap keahlian pegawai dalam menjalankan pekerjaannya, serta memberikan masukan untuk pengembangan program pelatihan secara berkesinambungan. </t>
  </si>
  <si>
    <t>j</t>
  </si>
  <si>
    <t>Perusahaan terus melakukan terobosan dalam pembelajaran melalui kolaborasi dengan penyedia program pelatihan Manajemen Risiko sesuai industri yang dijalankannya untuk mengedukasi pegawainya terkait praktik terbaik global Manajemen Risiko (khususnya untuk pegawai di jabatan Manajemen penting/ personel Unit Bisnis dan divisi Manajemen Risiko).</t>
  </si>
  <si>
    <t xml:space="preserve">k </t>
  </si>
  <si>
    <t xml:space="preserve">Organ Pengelola Risiko </t>
  </si>
  <si>
    <t xml:space="preserve">Efektifitas Fungsi pengelola risiko </t>
  </si>
  <si>
    <t>Telah ada fungsi risiko khusus dengan akuntabilitas perorangan dan cara interaksi yang jelas dengan fungsi kontrol maupun dengan Unit Bisnis.</t>
  </si>
  <si>
    <t>Telah ada Direktur yang bertanggung jawab atas risiko, sesuai dengan klasifikasi risiko dan komposisi organ yang diatur dalam 
Petunjuk Teknis Komposisi dan Kualifikasi 
Organ Pengelola Risiko.</t>
  </si>
  <si>
    <t xml:space="preserve">Fungsi risiko (dengan dukungan dari fungsi kepatuhan) memiliki kewenangan untuk menjalankan tanggung jawab utamanya yaitu: 
•	Mengidentifikasi risiko 
•	Mengukur risiko 
•	Memonitor risiko 
•	Mengontrol atau memitigasi risiko 
•	Melaporkan eksposur risiko </t>
  </si>
  <si>
    <t>Fungsi Assurance bersifat independen dan bertugas untuk memastikan bahwa manajemen dan pengendalian risiko dilakukan secara efektif (internal audit).</t>
  </si>
  <si>
    <t xml:space="preserve">Telah ada pimpinan khusus yang diformalisasikan (di tingkat manajemen) untuk setiap risiko utama (misal pimpinan khusus untuk risiko proyek, risiko strategis, risiko pasar, dll.) yang selaras antara penanggung jawab dan konteks bisnisnya. </t>
  </si>
  <si>
    <t>Akuntabilitas Direktorat Risiko disampaikan kepada Komite Pemantau Risiko dengan alur pelaporan yang jelas.</t>
  </si>
  <si>
    <t>Struktur tata kelola risiko yang jelas untuk setiap Unit Bisnis di bawah payung Grup (struktur tata kelola disesuaikan untuk risiko- risiko khusus seperti risiko siber).</t>
  </si>
  <si>
    <t xml:space="preserve">Telah ada bukti yang jelas atas kinerja optimalisasi struktur tata kelola risiko, di antaranya: telah dilaksanakan penyesuaian berkala (misal setiap tahun) struktur organisasi risiko (beserta penunjukan yang jelas untuk pimpinan yang bertanggung jawab atas risiko risiko utama perusahaan). </t>
  </si>
  <si>
    <t xml:space="preserve">Tingkat kematangan 
organ pengelola risiko </t>
  </si>
  <si>
    <t xml:space="preserve">Telah terpenuhinya kelengkapan organ pengelola risiko sesuai klasifikasi risiko BUMN serta fungsi, tugas, dan tanggung jawabnya sudah sesuai sebagaimana ketentuan dalam PER-2/MBU/03/ 2023 maupun Petunjuk Teknis mengenai Komposisi dan Kualifikasi Organ Pengelola Risiko. </t>
  </si>
  <si>
    <t xml:space="preserve">BUMN telah memiliki proses formal untuk mengelola risiko yang dituangkan dalam kebijakan/pedoman manajemen risiko. </t>
  </si>
  <si>
    <t>Fungsi risiko memiliki keterampilan dalam pengendalian dan pemodelan risiko sebagai dasar pengambilan keputusan berdasarkan selera risiko BUMN dan memberikan kontribusi terhadap kinerja BUMN.</t>
  </si>
  <si>
    <t>Seluruh organ pengelola Risiko telah tersertifikasi Manajemen Risiko lebih dari 1 sertifikasi.</t>
  </si>
  <si>
    <t>Praktik terbaik tata kelola risiko diterapkan di induk dan semua anak perusahaan (jika relevan).</t>
  </si>
  <si>
    <t>Keefektifan penerapan struktur tata kelola risiko ditinjau secara berkala (misal setiap tahun) oleh pihak independen (internal atau eksternal), kemudian dilakukan penyesuaian atau peningkatan untuk mencerminkan konteks saat ini (misal jenis risiko utama yang ditangani, pertumbuhan/ skala bisnis, strategi, dsb.).</t>
  </si>
  <si>
    <t xml:space="preserve">Peran dan Tanggung Jawab Organ Pengelola Risiko </t>
  </si>
  <si>
    <t xml:space="preserve">Keterlibatan aktif Dewan Komisaris/Dewan Pengawas dalam pengelolaan risiko. </t>
  </si>
  <si>
    <t>Dewan Komisaris mengawasi kegiatan Manajemen Risiko yang bersifat regulatori dan dianggap krusial serta telah ada ambang eskalasi yang jelas dari Direksi/Direktur Utama ke Dewan Komisaris.</t>
  </si>
  <si>
    <t>Ruang lingkup keterlibatan Dewan Komisaris dan Direksi dalam Manajemen Risiko dan pedoman pengambilan keputusan dalam permasalahan risiko utama dengan jelas tercantum pada kebijakan Manajemen Risiko.</t>
  </si>
  <si>
    <t xml:space="preserve">Dewan Komisaris menyetujui dan mengawasi implementasi: 
•	Kebijakan untuk risiko, Manajemen Risiko, dan kepatuhan 
•	Daftar risiko utama 
•	Kode etik yang menjelaskan perilaku yang tidak dapat diterima </t>
  </si>
  <si>
    <t xml:space="preserve">Dewan Komisaris rutin terlibat pada permasalahan risiko utama selain untuk menyetujui rencana bisnis tahunan. </t>
  </si>
  <si>
    <t xml:space="preserve">Dewan Komisaris secara rutin terlibat dalam kegiatan sosialisasi risiko di perusahaan (penekanan secara top-down) </t>
  </si>
  <si>
    <t>Dewan Komisaris efektif dalam mengarahkan Manajemen Risiko perusahaan ke arah yang konsisten dengan visi perusahaan, termasuk terlibat secara formal dalam penyusunan strategi risiko, rencana transformasi ERM, dan memastikan bahwa semua keputusan strategis yang diambil oleh perusahaan didukung oleh analisis risiko yang memadai.</t>
  </si>
  <si>
    <t xml:space="preserve">Telah ada bukti yang jelas atas kinerja keterlibatan aktif Dewan Komisaris, di antaranya 
•  Dewan Komisaris telah diikutsertakan dalam pengambilan keputusan untuk isu- isu yang membutuhkan eskalasi/persetujuan Dewan Komisaris dalam periode pelaporan (dengan merujuk ambang batas materialitas yang telah ditetapkan).
•  Dewan Komisaris telah mengambil peran sekurang-kurangnya dalam satu acara sosialisasi manajemen risiko Perusahaan. </t>
  </si>
  <si>
    <t>Dewan Komisaris membuat keputusan independen dan berbasis fakta untuk permasalahan yang dieskalasikan, misal: 
•  Telah ada bukti atau data yang dipresentasikan sebagai bahan pertimbangan Dewan Komisaris. 
•  Dewan Komisaris membuat keputusan ber basis fakta dan terdokumentasi dengan jelas (misal melalui recording, risalah rapat). 
•  Dewan Komisaris mendasarkan keputusan dengan membandingkan bukti/fakta yang disajikan terhadap kerangka risiko yang telah disepakati (misal selera risiko, batasan risiko, kapasitas risiko).</t>
  </si>
  <si>
    <t xml:space="preserve">Telah ada ambang batas materialitas atau kriteria yang jelas dari isu-isu terkait risiko atau permasalahan atau transaksi yang perlu dieskalasikan ke Dewan Komisaris dan diformalisasikan dalam kebijakan perusahaan termasuk yang memiliki implikasi strategis yang signifikan bukan hanya permasalahan berdampak/bernilai besar. </t>
  </si>
  <si>
    <t xml:space="preserve">Dewan Komisaris tidak menjadi penghambat, misal: 
•  Telah ada bukti bahwa Dewan Komisaris merespon dengan cepat dan membuat keputusan tanpa menghabiskan waktu yang lama saat ada permasalahan yang dieskalasikan ke tingkat komite.
•  Dewan Komisaris menyediakan waktu yang cukup untuk mengatasi masalah risiko yang dieskalasikan dengan bukti ketidakhadiran minim saat rapat Dewan Komisaris diadakan (terutama selama periode krisis). </t>
  </si>
  <si>
    <t xml:space="preserve">Tingkat pemahaman risiko di jajaran Dewan Komisaris </t>
  </si>
  <si>
    <t xml:space="preserve">Eskalasi permasalahan kepada Dewan Komisaris </t>
  </si>
  <si>
    <t>Semua Dewan Komisaris memiliki keahlian dan kapabilitas manajemen risiko yang tinggi untuk secara efektif mengawasi strategi Manajemen Risiko (misal semua anggota Dewan Komisaris telah mengikuti sertifikasi dasar Manajemen Risiko seperti LSPP, BSMR, dan sebagainya) dan paling sedikit terdapat satu anggota Dewan Komisaris yang memiliki pengalaman Manajemen Risiko di industrinya 
(misal sebelumnya menjabat sebagai pimpinan bidang Manajemen Risiko).</t>
  </si>
  <si>
    <t>Anggota Dewan Komisaris yang memiliki keahlian Manajemen Risiko ditugaskan di komite yang tepat (misal anggota yang sangat berpengalaman ditunjuk menjadi kepala komite risiko dibawah Dewan Komisaris).</t>
  </si>
  <si>
    <t>Anggota Dewan Komisaris berasal dari berbagai latar belakang dan bersifat independen yang membantu memberikan perspektif independen.</t>
  </si>
  <si>
    <t xml:space="preserve">Telah ada komite risiko di bawah Dewan Komisaris untuk mengelola Manajemen Risiko di perusahaan. </t>
  </si>
  <si>
    <t>Telah ada bukti yang jelas atas kinerja pelatihan untuk Dewan Komisaris, di antaranya: 
•  Penyelesaian penuh program pelatihan risiko untuk Dewan Komisaris yang telah direncanakan dalam periode pelaporan.
•  Level keahlian risiko Dewan Komisaris (misal melalui sertifikasi) dapat dipertahankan/ ditingkatkan secara year-on- year, termasuk partisipasi Dewan Komisaris dalam program refresher.</t>
  </si>
  <si>
    <t>Setiap risiko utama organisasi dialokasikan kepada setidaknya 1 sub-komite Dewan Komisaris yang bertanggung jawab atau seluruh Dewan Komisaris.</t>
  </si>
  <si>
    <t>Adanya tim Audit Khusus, yang bertanggung jawab mengawasi dan terus memonitor risiko- risiko yang berkembang (misal IT audit) untuk mendukung upaya Dewan Komisaris dalam melakukan pengawasan.</t>
  </si>
  <si>
    <t>Telah ada bukti bahwa komite berinteraksi dengan manajemen secara proaktif (tidak menunggu diminta), terutama pada periode di mana terdapat peningkatan potensi terjadinya peristiwa risiko kritis.</t>
  </si>
  <si>
    <t>Rapat komite risiko Dewan Komisaris memiliki bukti yang jelas bahwa anggota komite Dewan Komisaris berperan aktif dalam memberikan pengawasan, tantangan, dan arahan yang dapat ditindaklanjuti/langkah selanjutnya terhadap isu-isu risiko yang dieskalasi (diskusi dua arah).</t>
  </si>
  <si>
    <t xml:space="preserve">Pengurusan aktif Direksi dalam pengelolaan risiko </t>
  </si>
  <si>
    <t>Direksi ikut terlibat secara aktif menyusun kebijakan dan strategi manajemen risiko secara komprehensif kemudian mengusulkan kebijakan dan strategi tersebut kepada Dewan Komisaris.</t>
  </si>
  <si>
    <t>Direksi terlibat secara aktif menyusun perencanaan Manajemen Risiko yang menjadi satu kesatuan dengan RKAP.</t>
  </si>
  <si>
    <t>Telah ada ruang lingkup keterlibatan Direksi dalam Manajemen Risiko dan pedoman pengambilan keputusan dalam permasalahan risiko utama dengan jelas tercantum pada kebijakan Manajemen Risiko.</t>
  </si>
  <si>
    <t>Direksi telah secara konsisten melaksanakan kebijakan Manajemen Risiko dalam menjalankan proses bisnis perusahaan.</t>
  </si>
  <si>
    <t>Direksi melaksanakan kaji ulang secara berkala untuk memastikan ketepatan kebijakan prosedur Manajemen Risiko serta penetapan batasan Risiko (risk limit) dan ambang batas (threshold), kecukupan implementasi sistem informasi Manajemen Risiko yang terintegrasi dengan sistem informasi lainnya, serta memastikan keakuratan metodologi penilaian Risiko.</t>
  </si>
  <si>
    <t>Direksi telah memastikan bahwa fungsi Manajemen Risiko telah beroperasi secara independen.</t>
  </si>
  <si>
    <t>Direksi memonitor dan memastikan pelaksanaan penanganan Risiko utama perusahaan berjalan sesuai rencana.</t>
  </si>
  <si>
    <t>Direksi telah menerapkan Manajemen Risiko dalam setiap pengambilan keputusan.</t>
  </si>
  <si>
    <t xml:space="preserve">Mandat, wewenang, dan independensi fungsi manajemen risiko untuk memantau semua risiko </t>
  </si>
  <si>
    <t>Mandat fungsi Risiko didefinisikan dengan jelas dan tercantum dalam kerangka kebijakan dan dikomunikasikan ke seluruh pegawai.</t>
  </si>
  <si>
    <t>Telah ada bukti bahwa perusahaan melakukan tinjauan secara berkala (misal setiap tahun) apakah mandat, kerangka kerja, kebijakan/ prosedur Risiko yang diturunkan dari fungsi Risiko pusat telah diimplementasikan dengan baik ke seluruh lini perusahaan (termasuk Unit Bisnis/anak perusahaan).</t>
  </si>
  <si>
    <t>Telah ada pemisahan yang jelas antara peran fungsi Risiko pusat dan fungsi Risiko Unit Bisnis.</t>
  </si>
  <si>
    <t>Telah ada independensi organisasi antara fungsi Risiko dan Unit Bisnis yang kegiatan dan eksposurnya ditinjau.</t>
  </si>
  <si>
    <t xml:space="preserve">Fungsi Risiko (dengan dukungan dari fungsi kepatuhan) memiliki kewenangan untuk menjalankan tanggung jawab intinya: 
•  Mengidentifikasi Risiko 
•  Mengukur Risiko 
•  Memonitor Risiko 
•  Mengontrol atau memitigasi Risiko 
•  Melaporkan eksposur Risiko </t>
  </si>
  <si>
    <t>Fungsi Risiko berperan lebih dengan bertindak sebagai thought partner untuk membahas masalah Risiko dengan Unit Bisnis (misal Risiko terlibat dalam penyusunan keputusan-keputusan strategi bisnis penting). Unit Bisnis sepenuhnya menyepakati peran dan tanggung jawab jabatan tersebut.</t>
  </si>
  <si>
    <t>Fungsi Risiko bekerja sebagai mitra bagi Lini Pertama yang mampu memberikan masukan konstruktif kepada Unit Bisnis.</t>
  </si>
  <si>
    <t xml:space="preserve">Efektivitas fungsi pengelola risiko dalam menjalankan tugasnya </t>
  </si>
  <si>
    <t>Telah ada tim sentral khusus dengan risk ambassador atau terdapat dukungan inisiatif risiko dari setiap Unit Bisnis yang memberikan komentar atau masukan secara efektif sebagai 
Lini Kedua bagi Unit Bisnis.</t>
  </si>
  <si>
    <t>Tim sentral memberikan standar dan pedoman Manajemen Risiko untuk perusahaan secara independen, difasilitasi oleh pihak eksternal (misal konsultan) hanya untuk topik-topik khusus.</t>
  </si>
  <si>
    <t>Dilakukan penilaian risiko secara forward- looking dan memberikan wawasan mengenai proyeksi risiko ke depan secara rutin (misal secara kualitatif dan kuantitatif mengidentifikasi risiko-risiko utama yang akan dihadapi perusahaan di tahun berikutnya untuk setiap Unit Bisnis dan untuk perusahaan secara umum) dan mengikuti standar yang telah ditetapkan.</t>
  </si>
  <si>
    <t xml:space="preserve">Penilaian Risiko dengan efektif melibatkan Unit Bisnis sebagai Lini Pertama, sehingga proses tidak terlalu bergantung dengan tim sentral risiko (fungsi tim sentral risiko mampu menjalankan tugasnya dengan lebih efektif sebagai penilai risiko secara integrasi). </t>
  </si>
  <si>
    <t xml:space="preserve">Model Tata Kelola Risiko Tiga Lini dan Tata Kelola Terintegrasi </t>
  </si>
  <si>
    <t>Penerapan Model tata kelola risiko tiga lini.</t>
  </si>
  <si>
    <t>Telah ada Model Tata Kelola Risiko Tiga Lini dengan peran dan tanggung jawab yang jelas dan tepat pada jabatan tersebut yang dijalankan oleh setiap pihak untuk memastikan independensi dan objektivitas.</t>
  </si>
  <si>
    <t>Unit Bisnis secara langsung mengidentifikasi dan mengelola risiko dalam proses bisnis sebagai Lini Pertama.</t>
  </si>
  <si>
    <t>Setiap Lini sepenuhnya menjalankan perannya.</t>
  </si>
  <si>
    <t>Self-assurance/self-checking dilakukan di Lini Pertama.</t>
  </si>
  <si>
    <t>Telah ada bukti bahwa keefektifan tiga lini diuji secara berkala untuk mengetahui adanya kesenjangan, duplikasi, atau ketidakkonsistenan dalam peran dan tanggung jawab guna memastikan optimalisasi penerapannya.</t>
  </si>
  <si>
    <t>Setiap unit di seluruh Lini tidak beroperasi sendiri-sendiri, tetapi secara berkala mendiskusikan dan menguji setiap upaya perbaikan berkelanjutan (terdapat bukti/dokumentasi komunikasi).</t>
  </si>
  <si>
    <t xml:space="preserve">Peran dan fungsi lini pertama </t>
  </si>
  <si>
    <t xml:space="preserve">Setiap risiko dievaluasi oleh pemilik risiko berdasarkan alur proses bisnis beserta faktor- faktor yang mempengaruhinya. </t>
  </si>
  <si>
    <t>Telah ada dokumentasi keputusan manajemen senior mengenai risiko yang akan ditanggung oleh perusahaan/Unit Bisnis.</t>
  </si>
  <si>
    <t xml:space="preserve">Unit Bisnis secara langsung mengidentifikasi dan mengelola risiko dalam proses bisnis sebagai Lini Pertama. </t>
  </si>
  <si>
    <t>Lini Pertama telah memperhatikan kebijakan risiko dalam penetapan target/sasaran unit kerja dan terdapat KPI risiko di Lini Pertama.</t>
  </si>
  <si>
    <t>Kepemilikan risiko dipahami dengan baik dan mempengaruhi keputusan penting (misal keputusan strategis mempertimbangkan input 
kritis dari personel manajemen yang bertanggung jawab atas risiko tersebut).</t>
  </si>
  <si>
    <t xml:space="preserve">Lini Pertama menjadi pemilik penuh risiko dan kontrol relevan di lini yang diemban. </t>
  </si>
  <si>
    <t>Telah ada otomatisasi kontrol.</t>
  </si>
  <si>
    <t>Peran dan fungsi lini kedua.</t>
  </si>
  <si>
    <t xml:space="preserve">Telah dilakukan pemantauan risiko utama oleh lini kedua yang menyebabkan kinerja perusahaan tercapai melebihi target. </t>
  </si>
  <si>
    <t xml:space="preserve">Unit Risiko mereviu dan memantau profil Risiko, peta Risiko, realisasi perhitungan Risiko inheren dan Risiko residual, dan realisasi pelaksanaan perlakuan Risiko dan biaya agar sesuai dengan target penyelesaian, memberi tanggapan secara formal. Lini Kedua menerapkan apresiasi dan hukuman kepada Lini Pertama dalam pengelolaan risiko. </t>
  </si>
  <si>
    <t>Lini Kedua melakukan internal control testing 
dan stress testing secara berkala.</t>
  </si>
  <si>
    <t>Lini Kedua menyampaikan risiko utama dan rekomendasi kepada Lini Ketiga sebagai bahan penyusunan rencana audit tahunan.</t>
  </si>
  <si>
    <t>Lini Kedua melakukan tindak lanjut terhadap temuan dan rekomendasi hasil audit eksternal maupun internal terkait manajemen risiko yang secara keseluruhan sudah sesuai target penyelesaian yang diberikan.</t>
  </si>
  <si>
    <t>Lini Kedua menyusun laporan manajemen risiko secara bulanan kepada Direksi.</t>
  </si>
  <si>
    <t xml:space="preserve">Lini Kedua memastikan tindak lanjut penyelesaian perbaikan dari RMI untuk dapat diselesaikan pada unit kerja. </t>
  </si>
  <si>
    <t>Peran dan fungsi lini ketiga.</t>
  </si>
  <si>
    <t xml:space="preserve">Dilakukan pengkajian terhadap prosedur yang berkaitan dengan tata kelola dan pengendalian risiko secara periodik. </t>
  </si>
  <si>
    <t>Terdapat rencana audit tahunan yang berbasis risiko dan alokasi anggaran untuk pelaksanaan fungsi pengawasan intern.</t>
  </si>
  <si>
    <t xml:space="preserve">Pelaksanaan pengawasan intern secara aktif dilaksanakan sesuai dengan rencana audit tahunan, memastikan auditee menyusun rencana tindakan perbaikan yang dapat menjawab temuan/rekomendasi dan tidak terdapat temuan berulang. </t>
  </si>
  <si>
    <t>Rekomendasi perbaikan atas hasil evaluasi efektivitas pelaksanaan pengendalian intern, manajemen risiko, dan proses tata kelola perusahaan telah dijalankan seluruhnya 
(100%) oleh manajemen.</t>
  </si>
  <si>
    <t xml:space="preserve">SPI BUMN Induk menentukan strategi pelaksanaan Audit Intern Anak Perusahaan BUMN, merumuskan prinsip Audit Intern yang mencakup metodologi audit dan langkah pelaksanaan pengendalian mutu, serta memantau pelaksanaan Audit Intern pada masing-masing Anak Perusahaan BUMN (jika relevan). </t>
  </si>
  <si>
    <t>Interaksi antara fungsi Risiko dan Assurance (kepatuhan, legal, audit).</t>
  </si>
  <si>
    <t>Assurance dan Risiko merupakan dua tim terpisah dengan tanggung jawab yang terpisah dan terdefinisi dengan jelas.</t>
  </si>
  <si>
    <t>Fungsi Assurance secara efektif melakukan tugasnya sebagai lini terakhir terhadap pengelolaan risiko (misal terdapat bukti pelaksanaan tugas/laporan audit internal yang menggambarkan kegiatan evaluasi atas proses Manajemen Risiko).</t>
  </si>
  <si>
    <t xml:space="preserve">Interaksi antara fungsi Assurance dan Risiko sangat kolaboratif (misal fungsi Risiko mempertimbangkan masukan dari fungsi Assurance sebagai bagian dari perbaikan berkesinambungan). </t>
  </si>
  <si>
    <t>Peran dan fungsi Tata Kelola Risiko Terintegrasi.</t>
  </si>
  <si>
    <t xml:space="preserve">Direksi BUMN Induk telah menetapkan kebijakan pada tingkat BUMN Induk yang diharmonisasikan dengan kebijakan pada tingkat Anak Perusahaan BUMN melalui: 
•  Direktur yang melaksanakan tugas fungsional BUMN Induk wajib melakukan 
harmonisasi kebijakan fungsional pada Anak 
Perusahaan BUMN. 
• Direktur yang melaksanakan tugas pembinaan wajib memastikan keselarasan dan sinergitas strategi BUMN Induk dan Anak Perusahaan BUMN. </t>
  </si>
  <si>
    <t>Adanya organ Komite Tata Kelola Terintegrasi (KTKT) sesuai dengan kategori dan klasifikasi risiko di BUMN Induk dan anak perusahaan.</t>
  </si>
  <si>
    <t>Monitoring risiko entitas induk sampai ke entitas anak.</t>
  </si>
  <si>
    <t>Telah ada mandat/hubungan formal bagi fungsi risiko pusat untuk memonitor risiko di seluruh lini perusahaan, termasuk dengan anak perusahaan (misal terdapat kerangka tata kelola risiko yang menjelaskan kewenangan ini bagi seluruh lini perusahaan dan tercantum pada kebijakan Manajemen Risiko).</t>
  </si>
  <si>
    <t>Direksi telah terlibat aktif dalam menyusun 
dan menyampaikan laporan Manajemen Risiko.</t>
  </si>
  <si>
    <t xml:space="preserve">Telah ada bukti yang jelas atas kinerja implementasi Model Tata Kelola Risiko Tiga Lini, di antaranya: telah dilaksanakan penyesuaian berkala (misal setiap tahun) terhadap struktur organisasi Model Tata Kelola Risiko Tiga Lini berdasarkan tinjauan rutin (termasuk pengurangan duplikasi tanggung jawab, dan penyempurnaan penerapan Model Tata Kelola Risiko Tiga Lini di fungsi penunjang), terutama terlibat dalam mempertimbangkan dampak dari transformasi perusahaan yang sedang berlangsung (jika ada) terhadap desain Model Tata Kelola Risiko Tiga Lini. </t>
  </si>
  <si>
    <t xml:space="preserve">Telah terdapat piagam audit intern dan dilakukan pengkajian terhadap piagam tersebut secara periodik. </t>
  </si>
  <si>
    <t>Fungsi Assurance tidak terlibat dalam penyusunan atau penerapan proses Manajemen Risiko atau mengelola risiko, sebaliknya, mereka memastikan bahwa setiap risiko telah dievaluasi, dimonitor, dan dilaporkan dengan tepat.</t>
  </si>
  <si>
    <t>Fungsi Assurance bersifat independen dan bertugas untuk memastikan bahwa manajemen dan kontrol risiko dilakukan secara efektif (internal audit).</t>
  </si>
  <si>
    <t>Telah ada alur pelaporan yang jelas untuk fungsi risiko di seluruh organisasi, termasuk dari fungsi risiko khusus/fungsi risiko di anak perusahaan ke fungsi risiko pusat kemudian ke komite di tingkat Dewan Komisaris/Direksi 
yang bertanggung jawab atas Manajemen Risiko.</t>
  </si>
  <si>
    <t xml:space="preserve">Kewenangan fungsi risiko pusat dan tingkat Unit Bisnis/anak perusahaan didefinisikan dan dikomunikasikan dengan baik misal, panduan mana yang diturunkan ke Unit Bisnis/anak perusahaan (jika relevan), bagian mana yang merupakan kewenangan pengambilan keputusan Unit Bisnis/anak perusahaan dan sebagainya. </t>
  </si>
  <si>
    <t>Telah ada bukti bahwa perusahaan melakukan tinjauan secara berkala (misal setiap tahun) untuk menilai apakah mandat, kerangka kerja, kebijakan/prosedur risiko yang diturunkan dari fungsi risiko pusat telah diimplementasikan dengan baik ke seluruh lini perusahaan (termasuk Unit Bisnis/anak perusahaan).</t>
  </si>
  <si>
    <t xml:space="preserve">Strategi Risiko </t>
  </si>
  <si>
    <t xml:space="preserve">Peningkatan kualitas kerangka manajemen risiko. </t>
  </si>
  <si>
    <t xml:space="preserve">Inisiatif peningkatan kualitas kerangka ERM telah dijalankan dengan dilakukan pengukuran dampak yang jelas, contohnya secara kuantitatif (misal penurunan jumlah peristiwa risiko) atau secara kualitatif (misal jajaran manajemen melakukan pemantauan dengan lebih baik). </t>
  </si>
  <si>
    <t xml:space="preserve">Terdapat kerangka kerja manajemen risiko yang disusun sebagai acuan bagi perusahaan untuk menerapkan manajemen risiko yang terintegrasi dengan aktivitas utama dan aktivitas pendukung untuk pencapaian sasaran strategis perusahaan. </t>
  </si>
  <si>
    <t xml:space="preserve">Kerangka kerja manajemen risiko telah ditetapkan secara formal oleh pimpinan perusahaan dan diterapkan secara konsisten. </t>
  </si>
  <si>
    <t xml:space="preserve">Kerangka kerja manajemen risiko diturunkan lebih lanjut dalam bentuk kebijakan, prosedur, dan turunannya untuk memastikan adanya penanaman praktik pengelolaan risiko di seluruh tingkatan perusahaan. </t>
  </si>
  <si>
    <t>Telah dilakukan evaluasi terhadap kerangka kerja manajemen risiko beserta kebijakan, prosedur, dsb secara berkala dan diperbaharui (jika dibutuhkan) dan dilaporkan kepada pimpinan perusahaan dalam rangka perbaikan berkelanjutan.</t>
  </si>
  <si>
    <t>Rencana transformasi ERM.</t>
  </si>
  <si>
    <t xml:space="preserve">Perusahaan memiliki rencana transformasi ERM yang jelas untuk beberapa tahun ke depan atau jangka panjang yang dapat ditindaklanjuti dan mendetail (misal lini masa, kebutuhan sumber daya, pemantauan program, dan sebagainya). </t>
  </si>
  <si>
    <t>Ruang lingkup transformasi jauh melampaui pemenuhan persyaratan regulator (misal menjadi bagian dari perbaikan berkelanjutan), transformasi didasarkan pada benchmark untuk menerapkan best-practice secara global dalam perusahaan untuk menerapkan best-practice secara global dalam perusahaan.</t>
  </si>
  <si>
    <t>Telah ada tim khusus yang bertanggung jawab atas pelaksanaan rencana transformasi dan kesuksesannya. Unit Bisnis dan fungsi lainnya terlibat dalam rencana transformasi ini 
(misal dalam tahap perancangan dan pelaksanaannya).</t>
  </si>
  <si>
    <t xml:space="preserve">Peran manajemen risiko dalam penyusunan strategis </t>
  </si>
  <si>
    <t>Dilakukan penyelarasan secara rutin antara strategi perusahaan dan strategi risiko untuk memastikan bahwa rencana strategis telah mempertimbangkan risiko (misal anggaran tahunan, penentuan proyek strategis).</t>
  </si>
  <si>
    <t>Rencana strategis perusahaan sepenuhnya mempertimbangkan risiko yang dilakukan dengan pendekatan sistematis dan terstruktur (mempertimbangkan skenario risiko dalam upaya pencapaian sasaran perusahaan).</t>
  </si>
  <si>
    <t xml:space="preserve">Telah ada bukti dan dokumentasi bahwa Risiko dan Strategi bekerja sama menjadi  mitra dalam pembahasan dan penyusunan keseluruhan strategi risiko dan strategi perusahaan, contohnya: 
o  Personil risiko dilibatkan secara ekstensif dalam proses penetapan strategi (bukan  hanya di akhir proses untuk "memeriksa" atau 
"menyetujui" strategi yang ditetapkan 
o  Telah ada analisis risiko yang digunakan untuk menguji dan memperkaya pertimbangan strategis (risiko mengambil peran aktif dan memberi nilai tambah) 
o  Analisis risiko difokuskan pada prinsip- prinsip penciptaan nilai/menyeimbangkan pertimbangan sisi positif dan negatif (daripada hanya berfokus pada mengurangi sisi negatif). </t>
  </si>
  <si>
    <t xml:space="preserve">Unit Bisnis memahami cara mempertimbangkan risiko dalam perencanaan strategis untuk menggali manfaat. </t>
  </si>
  <si>
    <t xml:space="preserve">Hubungan peran manajemen 
risiko terhadap pencapaian target strategis RKAP. </t>
  </si>
  <si>
    <t>Telah ada kerangka kerja formal untuk mengevaluasi peran manajemen risiko terhadap pencapaian target strategis RKAP, termasuk analisis: 
o   Jika target perusahaan tercapai, apa saja praktik Manajemen Risiko (misal budaya risiko, organisasi dan tata kelola, kerangka kerja dan kepatuhan, proses dan kontrol, model, data dan teknologi) yang berkontribusi terhadap pencapaian tersebut (misal pencegahan/ pengurangan dampak peristiwa risiko yang dapat mempengaruhi kemampuan BUMN untuk mencapai target). 
o   Jika target perusahaan tidak tercapai, apa saja praktik Manajemen Risiko yang berkontribusi terhadap kegagalan pencapaian target (misal peristiwa risiko yang berdampak pada kemampuan BUMN untuk mencapai target, dan dapat dicegah/ dikurangi dampaknya dengan praktik Manajemen Risiko yang lebih baik).</t>
  </si>
  <si>
    <t xml:space="preserve">Implikasi risiko terhadap rencana strategis perusahaan dipahami dengan baik, misalnya:  
o  Manajemen mengetahui perilaku pengambilan risiko yang diperlukan dan kaitannya dengan strategi risiko.
o  Setiap keputusan penting strategi perusahaan (misal dalam RKAP/RJP) harus didukung oleh analisis risiko yang spesifik untuk keputusan tersebut. </t>
  </si>
  <si>
    <t>Evaluasi ini secara efektif membantu BUMN memperbaiki praktik manajemen risiko untuk perencanaan RKAP berikutnya (misal kekurangan yang ditemukan telah ditindaklanjuti atau kelebihan /kekuatan terus dipertahankan atau bahkan ditingkatkan lebih jauh) serta memiliki langkah tindak lanjut/ inisiatif perbaikan yang jelas (misal ditunjuknya penanggung jawab, lini masa/milestone jelas, dilakukan monitoring .</t>
  </si>
  <si>
    <t xml:space="preserve">Dilakukan analisis backward-looking dan forward-looking untuk pencapaian periode berikutnya (misal terdapat analisis skenario kuantitatif forward-looking mengenai bagaimana pengaruh praktik manajemen risiko tertentu terhadap keberhasilan/ kegagalan pencapaian target RKAP). </t>
  </si>
  <si>
    <t>Kapasitas risiko.</t>
  </si>
  <si>
    <t>Telah ada elemen penting kapasitas risiko (misal terdapat perhitungan detail/daftar metrik kapasitas risiko yang dapat ditanggung oleh perusahaan).</t>
  </si>
  <si>
    <t xml:space="preserve">Kapasitas risiko telah mencakup identifikasi dan pengelolaan berbagai jenis risiko, termasuk risiko operasional, keuangan, lingkungan, reputasi, dan lainnya yang relevan bagi organisasi. </t>
  </si>
  <si>
    <t>Telah ada prosedur yang mengatur penyusunan kapasitas risiko yang dihitung berdasarkan data historis atau persyaratan minimum regulator.</t>
  </si>
  <si>
    <t>Kapasitas risiko menjadi dasar dalam menetapkan selera risiko, toleransi risiko, limit risiko, dan metrik strategi risiko.</t>
  </si>
  <si>
    <t>Elemen penting kapasitas risiko (misal perhitungan detail/daftar metrik kapasitas risiko) ditinjau setiap tahun dan diperbaharui (jika dibutuhkan).</t>
  </si>
  <si>
    <t>Kapasitas risiko dikomunikasikan kepada seluruh pihak yang terlibat dalam penerapan manajemen risiko perusahaan.</t>
  </si>
  <si>
    <t xml:space="preserve">Selera risiko </t>
  </si>
  <si>
    <t>Telah ada pernyataan selera risiko formal yang terhubung/konsisten dengan kapasitas risiko.</t>
  </si>
  <si>
    <t>Mencakup Dimensi dan ambang batas kuantitatif dan kualitatif (misal untuk menangkap permasalahan risiko yang lebih 
kualitatif seperti risiko reputasi).</t>
  </si>
  <si>
    <t>Selera risiko menjadi salah satu pertimbangan dalam penyusunan rencana strategis perusahaan.</t>
  </si>
  <si>
    <t>Selera risiko dan strategi risiko menjadi bagian inti dari  materi komunikasi investor dan pemangku kepentingan eksternal (misal tercantum dalam halaman web dan laporan tahunan).</t>
  </si>
  <si>
    <t>Pemangku kepentingan utama (termasuk Unit Bisnis) dapat menjelaskan pernyataan 
selera risiko dan alasan-alasannya, serta sepenuhnya menyepakatinya.</t>
  </si>
  <si>
    <t>Telah ada bukti yang jelas atas kinerja implementasi selera risiko yang baik dalam penerapan selera risiko di tingkat perusahaan.</t>
  </si>
  <si>
    <t xml:space="preserve">Komunikasi selera risiko kepada pemangku kepentingan eksternal </t>
  </si>
  <si>
    <t>Selera dan strategi risiko adalah bagian inti dari komunikasi investor dan pemangku kepentingan eksternal lainnya serta penyampaiannya dilakukan secara rutin, misal tercantum pada laporan tahunan.</t>
  </si>
  <si>
    <t>Pemangku kepentingan utama 
memahami dan menerima selera dan strategi risiko.</t>
  </si>
  <si>
    <t>Kebijakan dan Prosedur</t>
  </si>
  <si>
    <t>Kebijakan Risiko</t>
  </si>
  <si>
    <t>Telah ada kaji ulang dan perbaikan proses Manajemen Risiko, termasuk:
o  Telah ada feedback sistematis dari “near-misses” sampai dengan perbaikan proses.
o  Usulan revisi dokumen kebijakan dikomunikasikan ke pemangku kepentingan relevan di seluruh lini.
o  Memastikan tidak adanya ambiguitas peran dan tanggung jawab yang tercantum dalam kebijakan risiko.
o  Memastikan bahwa kebijakan risiko diturunkan menjadi Standar dan Prosedur.</t>
  </si>
  <si>
    <t>Telah ada kebijakan dan proses yang komprehensif untuk mengelola setiap risiko utama, misal:
o  Telah ada SOP asesmen risiko, prioritisasi, mitigasi, monitoring, sistem peringatan dini, dan metrik yang terperinci.
o  Telah ada kebijakan risiko dan kepatuhan di tingkat grup dilengkapi kebijakan tingkat lokal/unit/anak perusahaan untuk mencakup seluruh risiko relevan.</t>
  </si>
  <si>
    <t>Perusahaan memiliki kebijakan risiko yang meliputi:
o  Telah ada kepemilikan dan tanggung jawab yang jelas untuk mengelola risiko-risiko utama.
o  Telah ada penanggung jawab yang jelas dan memiliki kapabilitas yang ditunjuk untuk mengelola setiap risiko utama.
o Telah ada garis tanggung jawab yang jelas dari Direktur Utama ke Lini Pertama untuk setiap risiko utama.</t>
  </si>
  <si>
    <t>Kebijakan memuat rencana kontingensi yang terperinci dan terdefinisi dengan baik, dengan alur spesifik atas langkah yang dibutuhkan.</t>
  </si>
  <si>
    <t>Kebijakan dikaji ulang secara rutin (sekurang-kurangnya satu kali dalam dua tahun).</t>
  </si>
  <si>
    <t>Setiap pegawai memahami dan menerima peran dan tanggung jawabnya yang berkaitan dengan kebijakan dan proses pengelolaan risiko-risiko utama, contohnya melalui:
o  Pelatihan khusus yang mencakup kebijakan yang berkaitan dengan risiko dan kontrol (misal modul pelatihan elektronik).
o  Forum reguler mengenai pembaruan terkini mengenai kebijakan risiko organisasi.
o  Program penjangkauan untuk mendorong pegawai agar berani mengungkap setiap pelanggaran kebijakan.
o  Matriks RACI (Responsible, Accountable, Consulted, Informed) yang ditetapkan untuk kebijakan yang dikeluarkan.</t>
  </si>
  <si>
    <t>Tidak ditemukan kekurangan serius dalam proses-proses yang berkaitan dengan pengelolaan risiko-risiko utama.</t>
  </si>
  <si>
    <t>Fungsi Risiko secara rutin memanfaatkan analisis yang relevan dan terperinci dalam memberikan wawasan terkait arah kegiatan usaha, misal:
o  Kebijakan perencanaan terintegrasi
o  Kebijakan stress-testing
o  Forecasting analysis
o  Horizon scanning analysis</t>
  </si>
  <si>
    <t>Prosedur Risiko</t>
  </si>
  <si>
    <t>Prosedur risiko dan standar pendukungnya secara efektif tertanam dan diterapkan di perusahaan, termasuk: 
o  Prosedur risiko yang diterapkan pada
setiap proses bisnis yang berkaitan
dengan risiko-risiko material perusahaan.
o  Telah ada pemodelan proses/dokumentasi proses yang tepat.
o  Mitigasi/pengendalian risiko diidentifikasi dalam proses (misal terdapat pelatihan kebijakan yang bersifat wajib sebelum melakukan kegiatan bisnis berisiko tinggi), termasuk setiap kegiatan self- assurance.</t>
  </si>
  <si>
    <t>Kontrol risiko meliputi metode untuk mengontrol risiko keberlangsungan bisnis dan mempertimbangkan eksposur risiko dan selera risiko perusahaan, termasuk titik pemicu (trigger point) yang  didefinisikan sebelumnya untuk pelaksanaan prosedur kontingensi.</t>
  </si>
  <si>
    <t>Kebijakan dan prosedur risiko diimplementasikan secara efektif, dan keefektifannya dikaji secara periodik melalui kegiatan yang terdokumentasi. Penilaian keefektifan pelaksanaan prosedur dan pengendalian dapat mencakup:
o  Identifikasi pegawai utama yang bertanggung jawab/mampu mengoperasikan prosedur dan pengendalian.
o  Evaluasi desain pengendalian (misal pengujian langsung, lokakarya) dan analisis kegagalan pengendalian untuk memitigasi risiko.
o  Peninjauan laporan audit untuk mengetahui adanya kekurangan prosedur.
o  Identifikasi KPI untuk pemantauan keefektifan proses/prosedur yang sedang berlangsung (outcome-based).</t>
  </si>
  <si>
    <t>Telah ada kebijakan dan prosedur untuk melindungi informasi digital dari akses oleh pihak yang tidak berwenang, kerusakan data, atau pencurian data di seluruh siklus pengolahan data, yang mencakup setiap aspek keamanan informasi mulai dari keamanan fisik perangkat keras dan perangkat penyimpanan hingga aplikasi administrasi dan kontrol akses, kebijakan dan prosedur organisasi.</t>
  </si>
  <si>
    <t>Keefektifan didukung oleh bukti kinerja penurunan/pemertahanan jumlah kasus dan kerugian yang disebabkan oleh kebocoran data secara year-on-year.</t>
  </si>
  <si>
    <t>Rencana darurat (contingency plan).</t>
  </si>
  <si>
    <t xml:space="preserve">Telah ada rencana darurat yang dapat ditindaklanjuti (langkah-langkah tindakan, dengan trigger point, nilai ambang batas, serta langkah yang harus dilakukan) terkait keberlangsungan bisnis dan manajemen krisis. </t>
  </si>
  <si>
    <t xml:space="preserve">Rencana kontingensi disusun melebihi kriteria yang diprasyaratkan regulator. </t>
  </si>
  <si>
    <t xml:space="preserve">Dilakukan pengujian terhadap rencana keberlangsungan bisnis dan manajemen krisis secara berkala (misal setahun dua kali) yang melibatkan manajemen senior untuk mereviu, mengkritisi dan memperbaiki kualitasnya, contohnya: 
o  Telah ada simulasi kejadian krisis yang dilakukan tahunan. 
o  Telah ada pengujian rencana kontingensi oleh pihak independen (misal audit ISO 
22301:2019). 
o  Rencana BCM ditingkatkan secara berkala berdasarkan praktik terbaik terbaru. 
o  Tinjauan post-mortem atas simulasi dan penggabungan pembelajaran. </t>
  </si>
  <si>
    <t xml:space="preserve">Setiap pemangku kepentingan (termasuk Unit Bisnis) memahami dan menerima peran dan tanggung jawabnya dalam kondisi krisis melalui change management, contohnya: 
o  Jajaran pimpinan telah dilatih tentang manajemen keberlangsungan bisnis. 
o  Tim operasional menerima pelatihan manajemen keberlangsungan bisnis.
o  Rencana keberlangsungan bisnis tingkat fungsi diadaptasi berdasarkan rencana keberlangsungan bisnis tingkat perusahaan. 
o  Manajemen keberlangsungan bisnis untuk setiap lini didefinisikan dan 
diimplementasikan (model operasi krisis.) </t>
  </si>
  <si>
    <t xml:space="preserve">Rencana keberlangsungan bisnis pernah diterapkan dengan baik pada kejadian- kejadian krisis di masa lampau. </t>
  </si>
  <si>
    <t>Dilakukan reviu dan stress test rutin (misal tahunan) terhadap sebagian besar prosedur dan SOP utama yang berkaitan dengan risiko utama perusahaan, serta dilakukan identifikasi area-area perbaikan.</t>
  </si>
  <si>
    <t xml:space="preserve">Jajaran manajemen senior terlibat secara aktif dalam melakukan reviu, mengkritisi, dan memperbaiki proses melalui stress test setidaknya satu kali dalam setahun, misal: 
o  Terlibat dalam simulasi krisis/workshop. 
o  Terlibat dalam identifikasi titik-titik lemah proses/root-cause analysis. </t>
  </si>
  <si>
    <t xml:space="preserve">Dilakukan perbaikan berkesinambungan terhadap prosedur, benchmarking terhadap praktik terbaik, serta sosialisasi ke seluruh lini perusahaan sepanjang waktu. </t>
  </si>
  <si>
    <t xml:space="preserve">Telah ada database yang mudah diakses dan terpusat untuk SOP terbaru (misal intranet, solusi manajemen SOP, kontrol dokumen). </t>
  </si>
  <si>
    <t xml:space="preserve">Fungsi Kepatuhan </t>
  </si>
  <si>
    <t>Organ fungsi kepatuhan dan perannya.</t>
  </si>
  <si>
    <t>Reviu &amp; Stress Test terhadap prosedur dan SOP.</t>
  </si>
  <si>
    <t xml:space="preserve">Seluruh proses kepatuhan terpisah dari proses bisnis sehari-hari (misal terdapat proses terpisah untuk proses kaji ulang/reviu). </t>
  </si>
  <si>
    <t>Perusahaan menerapkan pendekatan bottom- up untuk memeriksa pemenuhan persyaratan kepatuhan dan statusnya saat ini terhadap persyaratan regulator dan praktik terbaik industri, contohnya: 
o  Fungsi kepatuhan memastikan tersedianya katalog kontrol bottom-up yang komprehensif (misal untuk risiko siber). 
o  Bukti yang jelas mengenai penilaian dampak secara komprehensif atas peraturan baru terhadap kebijakan/prosedur yang ada.</t>
  </si>
  <si>
    <t>Telah ada keterkaitan yang harmonis antara proses risiko operasional dengan proses kepatuhan/audit (misal identifikasi, pengukuran, pengelolaan limit risiko, pemanfaatan taksonomi risiko umum dan sistem informasi umum).</t>
  </si>
  <si>
    <t>Kepatuhan terhadap kebijakan perusahaan diperiksa secara rutin maupun secara acak sepanjang tahun.</t>
  </si>
  <si>
    <t xml:space="preserve">Terdapat bukti bahwa fungsi kepatuhan dapat menjalankan peran sebagai advisory yang efektif bila diperlukan, misalnya secara konsisten memberikan saran berkualitas kepada mitra bisnis, termasuk dalam menangani isu-isu sulit (misal menyediakan informasi yang tersedia dan disesuaikan dengan kebutuhan bisnis mengenai persyaratan Kepatuhan, menerjemahkan persyaratan regulasi ke dalam rekomendasi yang dapat ditindaklanjuti dan praktis). </t>
  </si>
  <si>
    <t>Penerapan kerangka integrated ERM.</t>
  </si>
  <si>
    <t>Perusahaan memiliki kerangka ERM yang mencakup semua langkah-langkah besar Manajemen Risiko, dan memenuhi standar internasional seperti ISO 31000:2018.</t>
  </si>
  <si>
    <t>Kerangka ERM ditinjau dan disesuaikan secara rutin (paling sedikit satu kali dalam setahun) untuk mencerminkan perubahan risiko dan kegiatan usaha.</t>
  </si>
  <si>
    <t>Perusahaan memiliki rencana transformasi ERM yang mencakup semua inisiatif dan mendetail (misal lini masa, keperluan sumber daya, pengawasan program, dan sebagainya).</t>
  </si>
  <si>
    <t>Telah ada tim khusus yang bertanggung jawab atas pelaksanaan rencana transformasi dan kesuksesannya. Unit Bisnis dan fungsi lainnya terlibat dalam rencana transformasi ini (misal dalam tahap perancangan dan pelaksanaannya).</t>
  </si>
  <si>
    <t>Telah ada hasil penilaian benchmarking terhadap praktik terbaik global/eksternal untuk mengidentifikasi kesenjangan dan area yang perlu ditingkatkan, serta bukti penyesuaian kerangka ERM yang telah dilakukan berdasarkan hasil analisis.</t>
  </si>
  <si>
    <t>Fokus ERM bergeser dari "kepatuhan" ke
"value capture”.</t>
  </si>
  <si>
    <t xml:space="preserve">Efektivitas Manajemen Risiko dan pengendalian Intern  </t>
  </si>
  <si>
    <t>Efektivitas pengendalian intern.</t>
  </si>
  <si>
    <t>Terdapat struktur organisasi yang menggambarkan secara jelas kegiatan usaha BUMN</t>
  </si>
  <si>
    <t>Terdapat kecukupan prosedur untuk 
memastikan kepatuhan BUMN terhadap ketentuan peraturan perundang- undangan.</t>
  </si>
  <si>
    <t>Terdapat sistem pengendalian intern 
sesuai dengan jenis dan tingkat Risiko yang melekat pada kegiatan usaha BUMN.</t>
  </si>
  <si>
    <t>Telah ditetapkan wewenang dan tanggung jawab untuk pemantauan kepatuhan kebijakan dan prosedur Manajemen Risiko serta penetapan strategi Risiko dan pelaksanaannya telah dilakukan secara optimal.</t>
  </si>
  <si>
    <t>Dokumentasi telah lengkap dan memadai terhadap prosedur operasional, cakupan, dan temuan audit, serta tanggapan Direksi  terhadap hasil audit.</t>
  </si>
  <si>
    <t>Pelaporan keuangan dan kegiatan operasional telah akurat dan tepat waktu.</t>
  </si>
  <si>
    <t>Telah dilakukan kaji ulang atau reviu yang efektif, independen, objektif terhadap prosedur penilaian kegiatan operasional BUMN, sistem informasi Manajemen Risiko, dan penanganan kelemahan BUMN yang 
bersifat material. Kaji ulang telah dilakukan secara berkala dan berkesinambungan.</t>
  </si>
  <si>
    <t>Telah dilakukan pengujian dan kaji ulang atau reviu yang memadai terhadap sistem informasi Manajemen Risiko.</t>
  </si>
  <si>
    <t xml:space="preserve">Telah dilakukan verifikasi dan kaji ulang atau reviu secara berkala dan berkesinambungan terhadap penanganan kelemahan BUMN yang bersifat material dan tindakan Direksi untuk memperbaiki penyimpangan yang terjadi. </t>
  </si>
  <si>
    <t>k</t>
  </si>
  <si>
    <t xml:space="preserve">Telah dilakukan proses tindaklanjut atas hasil kaji ulang/reviu kegiatan operasional BUMN, sistem informasi Manajemen Risiko, dan penanganan kelemahan BUMN yang bersifat material dengan telah terdapat dokumentasi atas progres dan evidence atas tindak lanjut tersebut. Penyelesaian tindaklanjut atas hasil reviu/temuan dilakukan secara tuntas (100%) minimal 3 (tiga) tahun terakhir. </t>
  </si>
  <si>
    <t>Identifikasi Risiko</t>
  </si>
  <si>
    <t>Identifikasi Risiko Utama</t>
  </si>
  <si>
    <t>Telah ada taksonomi risiko integrasian yang terhubung dengan bisnis, dan mencakup risiko-risiko dasar dan risiko kompleks, serta mencakup risiko yang akan muncul (emerging risk) termasuk risiko-risiko masa depan (forward-looking risks) (misal ESG, siber).</t>
  </si>
  <si>
    <t>Taksonomi risiko secara konsisten diterapkan di ketiga lini, serta terdapat kerangka dan sistem Manajemen Risiko Perusahaan yang komprehensif, misalnya:
o  Telah ada pemahaman dan pemanfaatan taksonomi risiko oleh Unit Bisnis dalam keseharian kegiatan usaha (misal pengambilan keputusan berbasis risiko).
o  Taksonomi risiko yang terkini digunakan untuk mengklasifikasikan risiko dalam risk register.
o  Analisis risiko (misal dalam sistem informasi manajemen) menggunakan taksonomi risiko (misal untuk integrasi risiko).
o  Pemantauan risiko dilakukan untuk setiap taksonomi risiko.</t>
  </si>
  <si>
    <t>Taksonomi risiko secara konsisten diterapkan di seluruh anak perusahaan (jika relevan).</t>
  </si>
  <si>
    <t>Dilakukan pengkinian terhadap taksonomi risiko dan secara rutin dikaji ulang (sekurang-kurangnya satu kali dalam setahun) guna memastikan keterkiniannya dan tetap komprehensif terutama untuk mengetahui risiko yang muncul, misalnya melalui:
o  Benchmarking eksternal terhadap risk universe untuk industri/wilayah geografis.
o  Tinjauan rutin (misal dua kali dalam setahun) dengan para Direksi mengenai perubahan lingkungan (misal ekonomi, politik, regulasi) yang dapat berdampak pada taksonomi risiko.
o  Mengadakan workshop untuk meninjau taksonomi risiko.</t>
  </si>
  <si>
    <t>Telah ada bukti yang jelas atas kinerja penerapan taksonomi risiko, di anraranya:
o  Telah ada taksonomi risiko yang komprehensif, biasanya 2-4 level.
o  Level taksonomi risiko di setiap jenis risiko disesuaikan dengan kebutuhan.</t>
  </si>
  <si>
    <t>Telah ada metodologi identifikasi risiko yang setidaknya mempertimbangkan risiko-risiko yang melekat pada proses bisnis di BUMN dan target risiko residual secara bottom-up di level bisnis, dan top- down yang dipimpin tim pusat. Identifikasi risiko dilakukan melalui pendekatan top-down berdasarkan input dari tingkat Unit Bisnis dan didefinisikan di tingkat pusat.</t>
  </si>
  <si>
    <t>Proses identifikasi risiko menganalisis:
o  Karakteristik risiko inheren BUMN, dan
o  Risiko-risiko dari kegiatan usaha BUMN.</t>
  </si>
  <si>
    <t>Bahasa, kata-kata, atau istilah yang digunakan dalam proses identifikasi risiko sudah konsisten dan tidak rancu antara risiko dengan penyebab risiko, potensi dampak, atau potensi dampak yang disebabkan pengendalian risiko yang tidak efektif.</t>
  </si>
  <si>
    <t>Telah ada gambaran umum eksposur risiko, yang dicatat pada risk register.</t>
  </si>
  <si>
    <t>Terdapat metode dan alat yang memadai dan digunakan secara konsisten dan efektif untuk melakukan proses identifikasi risiko di perusahaan, seperti wawancara, analisis alur proses, proyeksi, penelusuran temuan audit, loss event data, dan lainnya.</t>
  </si>
  <si>
    <t>Identifikasi risiko dilakukan dengan
menggunakan informasi bersifat kuantitatif dan kualitatif.</t>
  </si>
  <si>
    <t xml:space="preserve">Pengukuran dan Prioritisasi Risiko </t>
  </si>
  <si>
    <t xml:space="preserve">Pengukuran risiko </t>
  </si>
  <si>
    <t>Telah ada penerapan metode yang berimbang antara kuantitatif dan kualitatif untuk proses risiko, antara lain:
o  Telah ada kriteria kuantitatif dan kualitatif untuk penilaian dampak.
o  Penerapan metode kualitatif melibatkan pengumpulan opini dari pakar internal (misal lokakarya, self- assessment) dan pakar eksternal yaitu (perspektif “outside-in”).
o  Penerapan metode kuantitatif melibatkan penggunaan data historis (misal loss event database), dilengkapi dengan data pasar dan perkiraan forward looking lainnya.</t>
  </si>
  <si>
    <t>Telah ada evaluasi kesesuaian metode penilaian risiko secara lebih sering (lebih dari sekali setiap tahun) sebagai bagian dari peningkatan berkelanjutan dari proses penilaian risiko dan sebagian besar risiko utama dapat dinilai secara kuantitatif.</t>
  </si>
  <si>
    <t>Banyak proses penilaian risiko dilakukan secara otomatis, contohnya:
o  Batas kuantitatif/kualitatif (misal dari Risk Appetite Statement/Risk Capacity) dihubungkan ke proses penilaian risiko, terdapat peringatan saat limit risiko terlampaui.
o  Permintaan input data periodik otomatis (misal untuk input para ahli) atau penarikan data otomatis (misal untuk data historis) dan perekaman data sistem untuk memfasilitasi penilaian risiko secara kuantitatif/kualitatif.
o  Otomatisasi diterapkan secara rutin untuk proses penilaian risiko (misal automated cyber controls status testing untuk infrastruktur TI).</t>
  </si>
  <si>
    <t>Metode penilaian risiko kuantitatif dan kualitatif sepenuhnya terstandardisasi/ konsisten di seluruh jenis risiko di antara Unit Bisnis/ anak perusahaan yang berbeda untuk memfasilitasi integrasi dampak risiko.</t>
  </si>
  <si>
    <t>Proses penilaian risiko telah dilaksanakan secara efektif, termasuk: 
o  Penilaian risiko dilaksanakan setiap  bulan.
o  Kerangka dan proses penilaian efektif untuk menilai risiko, terbukti dari realisasi dampak kuantitatif dan kualitatif yang untuk sebagian besar jenis risiko tidak melebihi dampak yang telah diperkirakan saat penilaian awal tahun.
o  Kerangka dan proses penilaian risiko telah komprehensif, sehingga hampir tidak ada realisasi peristiwa risiko signifikan yang belum dinilai pada saat penilaian awal tahun.</t>
  </si>
  <si>
    <t>Kerangka proses pengukuran risiko untuk prioritasi risiko.</t>
  </si>
  <si>
    <t>Telah ada kerangka dasar penilaian risiko secara formal dalam kebijakan Manajemen Risiko.</t>
  </si>
  <si>
    <t>Telah ada kerangka penilaian Risiko, yang mencakup penilaian kemungkinan terjadinya risiko serta tingkat dampak yang dituangkan dalam bentuk risk heatmap.</t>
  </si>
  <si>
    <t>Telah dilaksanakan penilaian yang mempertimbangkan keefektifan proses pengendalian internal.</t>
  </si>
  <si>
    <t>Penilaian dan prioritisasi Risiko diimplementasikan dengan baik oleh Lini Pertama dan Kedua.</t>
  </si>
  <si>
    <t>Telah terdapat perlakuan risiko (kurangi/transfer/hindari), indikator risiko utama/KRI, dan limit risiko dari setiap risiko.</t>
  </si>
  <si>
    <t>Telah ada prosedur formal saat peringatan muncul/limit Risiko terlampaui.</t>
  </si>
  <si>
    <t>Telah ada proses sistematis untuk mengidentifikasi dan menganalisis risiko- risiko yang akan muncul (emerging risk) di luar kerangka risiko yang telah ada seperti risiko operasional, keuangan, dan kepatuhan serta risiko-risiko tersebut dipertimbangkan dalam proses pengambilan keputusan serta menjadi input dalam proses penilaian risiko yang dilakukan secara rutin.</t>
  </si>
  <si>
    <t>Telah ada sistem risk register yang terkonsolidasi mencakup seluruh Unit Bisnis, dan perhitungan eksposur risiko dalam risk register sudah terintegrasi.</t>
  </si>
  <si>
    <t>Proses integrasi risiko biasanya dilakukan setiap tahun oleh Unit Bisnis dan unit risiko pusat.</t>
  </si>
  <si>
    <t>Proses integrasi dilakukan secara bottom up sehingga risiko utama perusahaan dapat ditentukan.</t>
  </si>
  <si>
    <t>Perusahaan sudah menetapkan secara formal terkait jenis dan jumlah risiko yang dapat diterima oleh perusahaan dalam mencapai sasaran strategisnya, yaitu selera risiko (risk appetite). Selera risiko (risk appetite) tersebut menjadi salah satu dasar dalam menyusun kriteria pengukuran risiko.</t>
  </si>
  <si>
    <t>Hasil pengukuran risiko dikomunikasikan kepada pimpinan unit kerja/fungsi dan pimpinan perusahaan, guna divalidasi untuk selanjutnya digunakan secara konsisten sebagai salah satu pertimbangan dalam proses pengambilan keputusan di perusahaan.</t>
  </si>
  <si>
    <t xml:space="preserve">Dalam memprioritaskan risiko, selain mempertimbangkan tingkat eksposur risiko (dampak dan kemungkinan terjadi) dan dampaknya pada toleransi risiko (risk tolerance), selera risiko (risk appetite), kapasitas risiko (risk capacity), dan sasaran strategis perusahaan juga mempertimbangkan kriteria lain yang telah disepakati sebelumnya, sebagai contoh tingkat adaptabilitas perusahaan terhadap risiko, kompleksitas risiko, velositas risiko, tingkat persistensi risiko, dan tingkat pemulihan risiko. </t>
  </si>
  <si>
    <t xml:space="preserve">Integrasi atas  seluruh risiko utama </t>
  </si>
  <si>
    <t xml:space="preserve">Perlakuan Risiko </t>
  </si>
  <si>
    <t>Aktivitas perlakuan terhadap risiko utama.</t>
  </si>
  <si>
    <t>Telah ada proses/alur untuk mengelola setiap risiko utama sesuai dengan definisi selera risiko termasuk untuk emerging risk.</t>
  </si>
  <si>
    <t>Rencana mitigasi risiko disusun dengan mempertimbangkan keterkaitan risiko antar unit kerja/fungsi, agar penanganan risiko tidak terduplikasi dan lebih efektif.</t>
  </si>
  <si>
    <t>Telah ada penanggung jawab yang jelas dan berkapabilitas yang ditunjuk untuk mengelola setiap risiko utama.</t>
  </si>
  <si>
    <t>Telah ada rencana tindakan mendetail dengan urutan langkah-langkah tindak lanjut yang spesifik.</t>
  </si>
  <si>
    <t>Rencana mitigasi risiko dipantau secara 
berkala untuk menilai efektivitasnya.</t>
  </si>
  <si>
    <t>Dalam menentukan rencana mitigasi risiko, perusahaan memperhatikan manfaat yang dapat tercipta dan sumber daya yang dikeluarkan untuk menangani suatu risiko.</t>
  </si>
  <si>
    <t>Manfaat dan sumber daya tersebut harus dikomunikasikan secara berkala kepada fungsi manajemen risiko sebagai pihak yang bertanggung jawab dalam mengkoordinasikan aktivitas manajemen risiko perusahaan.</t>
  </si>
  <si>
    <t>Telah ada rencana kontingensi yang terdefinisi dengan baik untuk setiap risiko utama.</t>
  </si>
  <si>
    <t>Setiap pegawai memahami dan menerima peran dan tanggung jawabnya yang berkaitan dengan kebijakan dan proses pengelolaan risiko-risiko utama.</t>
  </si>
  <si>
    <t>Telah ada perhitungan dampak risiko residual yang akan dikorelasikan dengan targetnya.</t>
  </si>
  <si>
    <t>Telah ada proses terstruktur untuk menyusun strategi penanganan ketidaksesuaian antara eksposur risiko aktual dan selera risiko: 
o  Menyusun basis fakta/data mengenai risiko. 
o  Melakukan analisis risiko.
o  Memaparkan opsi-opsi kepada jajaran manajemen.</t>
  </si>
  <si>
    <t xml:space="preserve">Pembahasan dilakukan setidaknya setiap bulan. </t>
  </si>
  <si>
    <t>Strategi yang ada saat ini telah efektif menjaga eksposur risiko agar tetap di level yang diinginkan (misal tidak ditemui bukti mengenai risiko yang melampaui ambang batasnya).</t>
  </si>
  <si>
    <t>Dilakukan penyelarasan antara perusahaan induk dan anak perusahaan/Unit Bisnis untuk memastikan bahwa analisis eksposur risiko telah mencakup seluruh risiko dari anak perusahaan/Unit Bisnis.</t>
  </si>
  <si>
    <t xml:space="preserve">Pelaporan Risiko </t>
  </si>
  <si>
    <t>Pelaporan risiko melaporkan risiko secara real-time.</t>
  </si>
  <si>
    <t xml:space="preserve">Pelaporan risiko dilakukan untuk memenuhi persyaratan pelaporan finansial atau pelaporan yang bersifat legal/kepatuhan. </t>
  </si>
  <si>
    <t>Pelaporan risiko dilakukan secara rutin (misal laporan triwulanan menunjukkan dengan jelas ambang batas risiko yang telah terlampaui) dan dilengkapi dengan rekomendasi tindak lanjut perbaikan, dan analisis tambahan.</t>
  </si>
  <si>
    <t>Telah ada pelaporan risiko di tingkat Unit Bisnis dan tingkat grup, termasuk anak perusahaan (jika relevan).</t>
  </si>
  <si>
    <t>Pelaporan risiko mencakup ringkasan semua risiko utama di semua jenis risiko, kejadian-kejadian penting dengan analisis postmortem, Leading indicator, dan rekomendasi yang dapat ditindaklanjuti.</t>
  </si>
  <si>
    <t>Pelaporan dilakukan menggunakan toolkit otomatis dan hasil pelaporan dapat diakses secara real-time.</t>
  </si>
  <si>
    <t>Telah ada model risiko untuk kuantifikasi risiko sebagian besar risiko utama perusahaan, dengan analisis dampak berbasis risiko secara mendetail yang dikonsolidasikan ke dampak tingkat integrasian (misal P/L, arus kas).</t>
  </si>
  <si>
    <t>Data risiko digunakan dan menjadi input otomatis untuk setiap analisis dan model.</t>
  </si>
  <si>
    <t>Telah ada lebih dari satu implementasi aplikasi Advanced Analytics Manajemen Risiko yang telah matang (misal Early Warning System/EWS, anti-fraud, penagihan).</t>
  </si>
  <si>
    <t>Telah ada tim risk model and analytics in- house khusus yang memiliki kapabilitas Manajemen Risiko dan kemampuan manajemen model khusus di semua tahapan siklus hidup manajemen model, yaitu:
•  Pembuatan model
•  Pengembangan model
•  Implementasi model
•  Pemantauan dan validasi model</t>
  </si>
  <si>
    <t>Model risiko secara rutin divalidasi oleh pihak validator independen dan model terus diperbaiki untuk mencapai tingkat akurasi yang lebih tinggi (misal GINI &gt; 50%).</t>
  </si>
  <si>
    <t>Penerapan teknologi dan algoritma Artificial Intelligence/Machine Learning (AI/ML) dalam model risiko, termasuk prosedur untuk mengurangi potensi penyalahgunaan/ ketidakpastian/bias dari penggunaan teknik-teknik canggih tersebut.</t>
  </si>
  <si>
    <t>Digitalisasi dan otomatisasi terhadap manajemen model di seluruh siklus hidup model secara menyeluruh, dengan pengembangan model, dokumentasi, validasi, dan pelaporan yang dikonsolidasikan dalam sistem/ruang kerja yang terpusat.</t>
  </si>
  <si>
    <t>Seluruh sistem yang berada di masing- masing unit bisnis terintegrasi dengan sistem informasi Manajemen Risiko.</t>
  </si>
  <si>
    <t>Data Risiko</t>
  </si>
  <si>
    <t>Data risiko</t>
  </si>
  <si>
    <t>Telah ada penyimpanan data risiko terpusat khusus untuk Manajemen Risiko yang rutin diperbarui (paling sedikit setiap triwulan) yang dapat digunakan oleh pengguna yang tepat, mencakup data risiko dari perusahaan induk dan anak perusahaan dengan metrik-metrik terstandar.</t>
  </si>
  <si>
    <t>Telah ada sistem penyimpanan data risiko yang terpusat dan terintegrasi:
•  Telah ada solusi TI terintegrasi (misal alat terkait tata kelola, Manajemen Risiko, dan kepatuhan yang digunakan untuk menunjang fungsi risiko dan kontrol mulai dari penilaian risiko hingga pelaporannya (dashboard).
•  Minim duplikasi/fragmentasi aset TI sehingga penerapan arsitektur data risiko secara menyeluruh.</t>
  </si>
  <si>
    <t>Solusi TI memuat informasi mengenai eksposur risiko, kebijakan dan prosedur Manajemen Risiko, dan limit risiko.</t>
  </si>
  <si>
    <t>Data risiko yang dikelola mencakup semua jenis risiko material perusahaan, termasuk data untuk risiko kualitatif dan jenis risiko yang muncul (misal data risiko privasi).</t>
  </si>
  <si>
    <t>Telah ada penyimpanan data sentral yang dapat mencatat data kerugian internal, termasuk near-misses.</t>
  </si>
  <si>
    <t>Diterapkan otomatisasi pengumpulan data operasional untuk pelaporan risiko.</t>
  </si>
  <si>
    <t>Direksi berperan aktif untuk mengembangkan budaya Manajemen Risiko.</t>
  </si>
  <si>
    <t>1
2</t>
  </si>
  <si>
    <t>1
2</t>
  </si>
  <si>
    <t xml:space="preserve">Telah ada serangkaian sistem penunjang untuk pelaksanaan dan penanaman program budaya risiko perusahaan, contohnya: 
o  Intranet perusahaan untuk memuat informasi yang dapat diakses mengenai program budaya risiko dan kebijakan risiko perusahaan.
o  Tersedia dashboard untuk memantau metrik yang berkaitan dengan budaya risiko/program budaya risiko. </t>
  </si>
  <si>
    <t>1
2</t>
  </si>
  <si>
    <t>1
2</t>
  </si>
  <si>
    <t>Dokumen hasil evaluasi terhadap indikator utam terkait budaya risiko seperti adanya penurunan kasus kecurangan, korupsi, pelanggaran kode etik, dan penurunan jumlah kerugian akibat kasus tersebut dari tahun yang lalu dengan tahun yang diukur.
Dokumen laporan hasil pelaksanaan program budaya risiko di tahun yang diukur dan terbukti program yang direncanakan telah dilaksanakan 100%.</t>
  </si>
  <si>
    <t>Cuplikan Dokumen kebijakan manajemen risiko yang didalamnya telah memformalisasikan penilaian RMI.</t>
  </si>
  <si>
    <t>Cuplikan dokumen jobdesk manajer lini pertama, lini kedua, dan lini ketiga yang mencantumkan adanya tanggung jawab pengembangan budaya risiko.</t>
  </si>
  <si>
    <t>1
2
3
4
5</t>
  </si>
  <si>
    <t>Dokumen rinci rencana perbaikan atas hasil penilaian RMI tahun sebelumnya.</t>
  </si>
  <si>
    <t>Dokumen yang menyatakan bahwa program peningkatan keahlian risiko bersifat wajib seperti surat perintah direksi atau yang lainnya.
Dokumen laporan hasil pengenaan sanksi atas ketidakhadiran dalam program peningkatan keahlian risiko.</t>
  </si>
  <si>
    <t>Dokumen hasil evaluasi atau tinjauan terhadap kurikulum atau silabus program peningkatan keahlian risiko minimal 3 tahun terakhir.</t>
  </si>
  <si>
    <t xml:space="preserve">Telah ada bukti yang jelas atas kinerja implementasi pelatihan risiko, di antaranya:  
o  Penyelesaian penuh untuk pelatihan wajib terkait manajemen risiko/ kesadaran risiko 
untuk semua pegawai. 
o  Penyelesaian penuh pelatihan risiko berdasarkan tingkat keahlian/jabatan untuk pegawai utama, terutama mereka yang memegang posisi manajerial di Lini Pertama, Lini Kedua, dan Lini Ketiga (kebutuhan/keluaran pelatihan terpenuhi). 
o  Telah ada bukti sanksi yang diterapkan kepada pegawai yang tidak menyelesaikan program pelatihan terkait manajemen risiko yang telah diwajibkan. </t>
  </si>
  <si>
    <t>Dokumen laporan hasil evaluasi pengumpulan feedback terdokumentasi dari pegawai yang telah menerima pelatihan risiko.</t>
  </si>
  <si>
    <t>DOKUMEN YANG HARUS DISIAPKAN</t>
  </si>
  <si>
    <t>Dokumen SK untuk nama-nama Risk Management Officer untuk setiap unit kerja.</t>
  </si>
  <si>
    <t xml:space="preserve">Telah ada fungsi Manajemen Risiko dan kepatuhan independen sebagai Lini Kedua,dan menjalankan tugasnya untuk menyusun metodologi dan kebijakan Manajemen Risiko. </t>
  </si>
  <si>
    <t>Dokumen SK organisasi atau cuplikan dokumen Kebijakan Manajemen Risiko yang menyatakan telah ada Direktur yang bertanggung jawab atas risiko, sesuai dengan klasifikasi risiko dan komposisi organ yang diatur dalam 
Petunjuk Teknis Komposisi dan Kualifikasi 
Organ Pengelola Risiko.</t>
  </si>
  <si>
    <t>Dokumen SK organisasi atau cuplikan dokumen Kebijakan Manajemen Risiko yang menyatakan telah ada fungsi Manajemen Risiko dan kepatuhan independen sebagai Lini Kedua,dan menjalankan tugasnya untuk menyusun metodologi dan kebijakan Manajemen Risiko.</t>
  </si>
  <si>
    <t xml:space="preserve">Dokumen SK organisasi atau cuplikan dokumen Kebijakan Manajemen Risiko yang menyatakan Fungsi risiko (dengan dukungan dari fungsi kepatuhan) memiliki kewenangan untuk menjalankan tanggung jawab utamanya yaitu: 
•	Mengidentifikasi risiko 
•	Mengukur risiko 
•	Memonitor risiko 
•	Mengontrol atau memitigasi risiko 
•	Melaporkan eksposur risiko </t>
  </si>
  <si>
    <t xml:space="preserve">Dokumen SK oragnisasi yang menugaskan pimpinan khusus yang diformalisasikan (di tingkat manajemen) untuk setiap risiko utama (misal pimpinan khusus untuk risiko proyek, risiko strategis, risiko pasar, dll.) yang selaras antara penanggung jawab dan konteks bisnisnya. </t>
  </si>
  <si>
    <t>Dokumen SK organisasi atau cuplikan dokumen Kebijakan Manajemen Risiko atau kebijakan yang lainnya yang memuat struktur tata kelola risiko yang jelas untuk setiap Unit Bisnis di bawah payung Grup (struktur tata kelola disesuaikan untuk risiko- risiko khusus seperti risiko siber).</t>
  </si>
  <si>
    <t>Dokumen SK organisasi atau cuplikan dokumen Kebijakan Manajemen Risiko atau kebijakan yang lainnya yang menyatakan Fungsi Assurance bersifat independen dan bertugas untuk memastikan bahwa manajemen dan pengendalian risiko dilakukan secara efektif (internal audit).</t>
  </si>
  <si>
    <t>Dokumen SK organisasi atau cuplikan dokumen Kebijakan Manajemen Risiko atau kebijakan yang lainnya yang memuat alur pelaporan yang jelas tentang penyampaian akuntabilitas Direktorat Risiko kepada Komite Pemantau Risiko.</t>
  </si>
  <si>
    <t xml:space="preserve">Dokumen hasil evaluasi terhadap pelaksanaan budaya risiko yang terkait dengan peningkatan budaya risiko (misalnya survey budaya risiko) dan masukan dari pegawai untuk pengembangan program budaya risiko. </t>
  </si>
  <si>
    <t>1
2</t>
  </si>
  <si>
    <t>Dokumen laporan atau evaluasi hasil pembelajaran melalui kolaborasi dengan penyedia program pelatihan Manajemen Risiko sesuai industri yang dijalankannya.
Dokumen bukti sertifikat training yang telah dilaksanakan kususnya untuk pegawai di jabatan Manajemen penting/ personel Unit Bisnis dan divisi Manajemen Risiko oleh penyedia program pelatihan manajemen risiko.</t>
  </si>
  <si>
    <t>Dokumen laporan hasil pelaksanaan pelatihan keahlian risiko tahun yang diukur.
Sertifikat pelatihan wajib terkait manajemen risiko untuk semua karyawan.
Sertifikat pelatihan risiko berdasarkan tingkat keahlian/jabatan untuk pegawai utama, terutama mereka yang memegang posisi manajerial di Lini Pertama, Lini Kedua, dan Lini Ketiga.
Laporan ketidakhadiran peserta yang telah dijadwalkan beserta sanksi yang diberikan.</t>
  </si>
  <si>
    <t>Dokumen SK atau cuplikan pada kebijakan manajemen risiko atau kebijakan lainnya tentang organ pengelola risiko beserta fungsi, tugas dan tanggung jawabnya.</t>
  </si>
  <si>
    <t>Dokumen kebijakan/ pedoman manajemen risiko.</t>
  </si>
  <si>
    <t>Dokumen sertifikasi profesi manajemen risiko yang dipunyai oleh fungsi risiko yaitu unit SPI, Unit Manajemen Risiko, dan Unit kerja lainnya yang diwakili oleh Risk Officer.
Dokumen pencapaian target (KPI) perusahaan tahun yang diukur dan terbukti tercapai atau melebihi target.</t>
  </si>
  <si>
    <t>Dokumen sertifikasi manajemen risiko lebih dari satu yang dimiliki oleh organ pengleola risiko:
o  Dewan Komisaris/ Pengawas, 
o  Direksi, 
o  Komite Pemantau Risiko. 
o  Komite Tata Kelola Terintegrasi.
o  Direktur yang membidangi pengelolaan risiko.
o  Direktur yang membidangi pemgelolaan keuangan
o SPI</t>
  </si>
  <si>
    <t>Dokumen pernyataan Dewan komisaris menyetujui implementasi dari :
•  Kebijakan untuk risiko, Manajemen Risiko, dan kepatuhan 
•  Daftar risiko utama 
•  Kode etik yang menjelaskan perilaku yang tidak dapat diterima.
Dapat berupa surat, notulen rapat, dll.
Dokumen monitoring dari Dewan Komisaris terhadap implementasi dari:
•  Kebijakan untuk risiko, Manajemen Risiko, dan kepatuhan 
•  Daftar risiko utama 
•  Kode etik yang menjelaskan perilaku yang tidak dapat diterima.
Dapat berupa laporan monitoring, notulen rapat, dll.</t>
  </si>
  <si>
    <t>Dokumen notulen rapat yang membahas permasalahan risiko utama antara Dewan Komosaris dan Manajemen yang dilakukan secara rutin atau berkala (misalnya bulanan).</t>
  </si>
  <si>
    <t>1
2</t>
  </si>
  <si>
    <t xml:space="preserve">Dokumen bukti kehadiran Dewan Komisaris hadir dalam kegiatan sosialisasi risiko di perusahaan.
Cuplikan dokumen job descrition atau board of commisioner manual atau kebijakan manajemen risiko atau kebijkan lainnya yang mencantumkan Dewan Komisaris secara rutin terlibat dalam kegiatan sosialisasi risiko di perusahaan (penekanan secara top-down).   </t>
  </si>
  <si>
    <t>Dokumen notulen rapat antar Dewan Komisaris dan Manajemen dalam pengambilan keputusan untuk isu- isu yang membutuhkan eskalasi/persetujuan Dewan Komisaris dalam periode pelaporan (dengan merujuk ambang batas materialitas yang telah ditetapkan).
Dokumen bukti kehadiran Dewan Komisaris dalam acara sosialisasi manajemen risiko perusahaan.</t>
  </si>
  <si>
    <t>1
2</t>
  </si>
  <si>
    <t>Dokumen yang membuktikan Dewan Komisaris selalu merespon permasalahan yang dieskalasikan ke tingkat komite sesuai dengan sesuai dengan waktu yang telah ditentukan (misal hasil evaluasi waktu yang dibutuhkan Dewan Komisaris dalam merespon masalah yang dieskalasi).
Dokumen notulen rapat dan tingkat kehadiran anggota Dewan Komisaris saat rapat Dewan Koimsasris.</t>
  </si>
  <si>
    <t>Program pelatihan keahlian manajemen risiko bagi Dewan Komisaris telah disusun dan disesuaikan dengan topik-topik edukasi risiko saat ini dan dilaksanakan seluruhnya, seperti: 
•  Pelatihan dan sertifikasi tentang dasar- dasar/prinsip manajemen risiko. 
•  Forum manajemen risiko dengan eksekutif industri lainnya.
•  Materi tentang risiko berwawasan ke depan 
(forward looking). 
•  Materi tentang perspektif global manajemen 
risiko.</t>
  </si>
  <si>
    <t>Dokumen sertifikasi profesi manajemen risiko dari Dewan Komisaris.</t>
  </si>
  <si>
    <t>Dokumen struktur organisasi dewan Komisaris beserta latar balakang anggotanya.</t>
  </si>
  <si>
    <t>Dokumen laporan pelaksanaan program pelatihan risiko di tahun yang diukur untuk Dewan Komisaris.</t>
  </si>
  <si>
    <t>Dokumen sertifikasi profesi manajemen risiko dan pengalaman kerja yang berhubungan dengan manajemen risiko dari Dewan Komisaris.</t>
  </si>
  <si>
    <t>Dokumen laporan monitoring Dewan Komisaris terhadap setiap risiko utama perusahaan.</t>
  </si>
  <si>
    <t>Dokumen surat penugasan audit khusus  yang bertanggung jawab mengawasi dan terus memonitor risiko- risiko yang berkembang (misal IT audit).</t>
  </si>
  <si>
    <t>Cuplikan dokumen dari kebijakan tata kelola/ kebijakan manajemen risiko yang memperlihatkan  Direksi ikut terlibat secara aktif menyusun kebijakan dan strategi manajemen risiko secara komprehensif kemudian mengusulkan kebijakan dan strategi tersebut kepada Dewan Komisaris.
Notulen rapat antara Direksi dan Dewan Komisaris yang berisikan usulan dari Direksi kepada Komisaris mengenai kebijakan dan strategi manajemen risiko secara komprehensif.</t>
  </si>
  <si>
    <t>Cuplikan dokumen kebijakan manajemen risiko yang di dalamnya memuat tugas dan tanggung jawab Direksi untuk menyusun perencanaan Manajemen Risiko yang menjadi satu kesatuan dengan RKAP.
Cuplikan dokumen RKAP yang memuat perencanaan Manajemen Risiko.</t>
  </si>
  <si>
    <t>Cuplikan dokumen kebijakan budaya perusanaan yang mencantumkan budaya risiko.
Dokumen laporan hasil pelaksanaan sosialisasi budaya perusahaan yang didalamnya juga tercantum budaya risiko ke seluruh perusahaan.
Dokumen laporan hasil monitoring pelaksanaan mitigasi risiko utama perusahaan yang telah menggambarkan adanya antispasi yang cepat dan tepat terhadap potensi risikonya.
Dokumen laporan hasil pembahasan risiko yang dianggap sulit yang dilengkapi dengan prosedur proses manajemen risiko yang telah ditetapkan (misal notulen rapat).
Dokumen laporan hasil pelaksanaan contingensi plan ketika terjadi sesuatu yang merugikan dimana eksposur risiko sudah melewati toleransi risiko.</t>
  </si>
  <si>
    <t>1
2</t>
  </si>
  <si>
    <t>Dokumen laporan hasil pelaksanaan RMI minimal 3 tahun terakhir.</t>
  </si>
  <si>
    <t>Dokumen yang menyatakan bahwa pelaksanaan penilaian RMI tahun yang diukur sudah sesuai dengan Juknis 8 Per-2 BUMN 2023 (misal notulen rapat, cuplikan dokumen kebijakan manajemen risiko, SK, dll).
Cuplikan dokumen Laporan penilaian RMI yang memuat dimensi risiko yang diukur.</t>
  </si>
  <si>
    <t>Dokumen yang membuktikan telah adanya peningkatan skor RMI dari tahun ke tahun minimal 3 tahun terakhir ( hasil evaluasi pelaksanaan RMI 3 tahun terakhir atau cuplikan dokumen penilaian RMI 3 tahun terakhir yang mencantumkan skor RMI-nya).
Dokumen laporan hasil monitoring pelaksanaan inisiatif dan rencana tindakan perbaikan telah dilaksanakan sepenuhnya (100%) selama periode pelaporan sesuai dengan peta jalan dan lini masa yang telah disusun.</t>
  </si>
  <si>
    <t>Dokumen laporan hasil  audit intern atau esktern atas hasil penilaian RMI oleh pihak independen (audit intern atau audit ekstern).</t>
  </si>
  <si>
    <t>Dokumen program peningkatan keahlian risiko bagi pegawai yang berisikan rencana pelatihan keahlian risiko, workshop manajemen risiko , dll yang akan dijalan pada tahun yang diukur.</t>
  </si>
  <si>
    <t>Dokumen yang menyatakan bahwa seluruh pegawai wajib mengikuti program peningkatan keahlian risiko sesuai dengan tingkat keahlian/jabatan.
Dokumen daftar peserta yang mengikuti program peningkatan risiko dilengkapi dengan unit kerjanya.</t>
  </si>
  <si>
    <t xml:space="preserve">Dokumen yang membuktikan bahwa Program sudah disesuaikan dengan tingkat keahlian/jabatan, khususnya untuk personel risiko dan anggota Dewan Komisaris/Direksi (misal silabus training atau yang lainnya). </t>
  </si>
  <si>
    <t xml:space="preserve">Dokumen yang membuktikan bahwa program sudah bersifat komprehensif mencakup seluruh Dimensi manajemen risiko ( misal silabus training atau yang lainnya). </t>
  </si>
  <si>
    <t>Dokumen yang membuktikan tingkat kehadiran pelatihan di atas 95% dari jumlah peserta yang terdaftar (misal absensi yang bukan tulisan tangan).</t>
  </si>
  <si>
    <t>Dokumen laporan hasil analisis untuk menilai keberhasilan/ruang perbaikan program.</t>
  </si>
  <si>
    <t>1
2
3
4</t>
  </si>
  <si>
    <t>Dokumen kebijakan/ pedoman manajemen  risiko atau tata kelola risiko telah terkini dengan praktik terbaik tata kelola risiko.</t>
  </si>
  <si>
    <t>Cuplikan dokumen laporan penilaian RMI 3 tahun terakhir yang menilai tentang struktur tata kelola risiko.</t>
  </si>
  <si>
    <t>Dokumen monitoring dari Dewan komisaris terhadap kegiatan Manajemen Risiko yang bersifat regulatori dan dianggap krusial serta telah ada ambang eskalasi yang jelas dari Direksi/Direktur Utama ke Dewan Komisaris. (Misal notulen rapat, laporan monitoring, dll).</t>
  </si>
  <si>
    <t>Cuplikan dokumen kebijakan/ pedoman manajemen risiko yang mencantumkan ruang lingkup keterlibatan Dewan Komisaris dan Direksi dalam Manajemen Risiko dan pedoman pengambilan keputusan dalam permasalahan risiko utama.</t>
  </si>
  <si>
    <t>Dokumen notulen rapat antar Dewan Komisaris dan Manajemen dalam pembahasan arah Manajemen Risiko perusahaan ke arah yang konsisten dengan visi perusahaan, penyusunan strategi risiko, rencana transformasi ERM. Selain notulen rapat bisa juga berupa surat tanggapan/ jawaban Dewan Komisaris.</t>
  </si>
  <si>
    <t>Dokumen sertifikasi profesi dan pengalaman kerja yang brrhubungan dengan manajemen risiko dari kepala Komite Risiko.</t>
  </si>
  <si>
    <t>Dokumen notulen rapat terkait risiko antara Dewan Komisaris dan manajemen di luar rapat rutin yang diminta oleh Dewan Komisaris.
Surat dari Dewan Komisaris ke Manajemen terkait pengelolaan risiko terutama pada saat terdapat peningkatan potensi terjadinya risiko kritis.</t>
  </si>
  <si>
    <t>Dokumen notulen rapat Komite Risiko Dewan Komisaris terkait isu-isu risiko yang dieskalasi .</t>
  </si>
  <si>
    <t>Dokumen laporan pelaksanaan manajemen risiko.</t>
  </si>
  <si>
    <t>Cuplikan dokumen kebijakan manajemen risiko yang di dalamnya memuat adanya ruang lingkup keterlibatan Direksi dalam Manajemen Risiko dan pedoman pengambilan keputusan dalam permasalahan risiko utama.</t>
  </si>
  <si>
    <t>Cuplikan dokumen kebijakan manajemen risiko/ tata kelola yang berisikan struktur organisasi serta tugas dan tanggung jawabnya.</t>
  </si>
  <si>
    <t xml:space="preserve">Dokumen laporan monitoring pelaksanaan penanganan risiko utama perusahaan yang ditujukan ke Direksi. </t>
  </si>
  <si>
    <t>Cuplikan dokumen kebijakan manajemen risiko yang mendinisikan dengan jelas mandat fungsi risiko.
Dokumen laporan sosialisasi kebijakan manajemen risiko ke seluruh pegawai.</t>
  </si>
  <si>
    <t>Dokumen laporan penilaian RMI.</t>
  </si>
  <si>
    <t>Dokumen cuplikan kebijakan mananjemen risiko/ tata kelola yang memuat struktur organisasi yang disertai dengan tugas dan tanggung jawab fungsi risiko.</t>
  </si>
  <si>
    <t>Dokumen cuplikan kebijakan mananjemen risiko/ tata kelola yang memuat struktur organisasi yang disertai dengan tugas dan tanggung jawab fungsi risiko dan fungsi risiko unit bisnis.</t>
  </si>
  <si>
    <t>Dokumen laporan hasil audit terhadap unit fungsi risiko dan unit bisnis.</t>
  </si>
  <si>
    <t>Cuplikan dokumen kebijakan manajemen risiko yang memuat kewenangan dan tanggung jawab fungsi risiko.</t>
  </si>
  <si>
    <t>Cuplikan dokumen kebijakan manajemen risiko yang memuat kewenangan dan tanggung jawab fungsi risiko dan unit bisnis.</t>
  </si>
  <si>
    <t>Dokumen SK Risk Officer/ Ambasador berserta tugas dan tanggung jawabnya.</t>
  </si>
  <si>
    <t>Dokumen pedoman pembuatan batasan risiko (risk appetite, risk tolerance, risk capacity).
Dokumen pedoman pembuatan Internal Control Test dan Strees Test.
Dokumen pedoman pembuatan kriteria kemungkinan dan dampak, heat map.</t>
  </si>
  <si>
    <t>; proses</t>
  </si>
  <si>
    <t>Dokumen laporan pelaksanaan proses manajemen risiko mulai dari penentuan ruang lingkup, konteks, dan kriteria; proses penilaian risiko, proses perlakuan risiko, serta monitoring dan pembuatan laporannya yang dilaporkan oleh unit bisnis ke tim sentral risiko.</t>
  </si>
  <si>
    <t>Cuplikan dokumen kebijakan manajemen risiko/ tata kelola yang memuat model tiga lini.</t>
  </si>
  <si>
    <t>Dokumen laporan pelaksanaan proses manajemen risiko mulai dari penentuan ruang lingkup, konteks, dan kriteria; proses penilaian risiko, proses perlakuan risiko, serta monitoring dan pembuatan laporannya.
Cuplikan dokumen kebijakan menajemen risiko mengenai tugas dan tanggung jawab lini pertama.</t>
  </si>
  <si>
    <t>Dokumen laporan hasil pelaksanaan self assurance dari lini pertama
Cuplikan dokumen kebijakan menajemen risiko yang memuat bahwa lini pertama harus melaksanakan self assurance/ self checking.</t>
  </si>
  <si>
    <t>Dokumen laporan hasil evaluasi atau tinjauan efektivitas tiga lini di perusahaan.</t>
  </si>
  <si>
    <t>Dokumen notulen rapat rutin yang dilakukan antar lini.
Dokumen laporan hasil audit.</t>
  </si>
  <si>
    <t>Dokumen laporan hasil evaluasi atau tinjauan efektivitas tiga lini di perusahaan.
Dokumen struktur organisasi model tiga lini 3 tahun terakhir.</t>
  </si>
  <si>
    <t>Cuplikan dokumen kebijakan manajemen risiko yang memuat tugas dan tanggung jawab pemilik risiko.
Dokumen risk register beserta penilaian dan perlakuan risikonya.</t>
  </si>
  <si>
    <t>Dokumen notulen rapat atau yang lainnya berhubungan dengan keputusan manajemen senior mengenai risiko yang akan ditanggung oleh perusahaan/Unit Bisnis.</t>
  </si>
  <si>
    <t>Cuplikan kebijakan manajemen risiko/ tata kelola yang memuat bahwa Unit Bisnis secara langsung mengidentifikasi dan mengelola risiko dalam proses bisnis sebagai Lini Pertama.
Dokumen risk register beserta penilaian dan perlakuan risikonya dari lini pertama.</t>
  </si>
  <si>
    <t>Cuplikan dokumen RKAP yang memuat penetapan KPI dan pengelolaan risikonya di lini pertama.
Cuplikan dokumen kebijakan menajemen risiko atau yang lainnya yang memuat bahwa lini pertama dalam menentukan KPI-nya telah memperhatikan kebijakan risiko.</t>
  </si>
  <si>
    <t>Dokumen laporan pelaksanaan manajemen risiko dari lini pertama.</t>
  </si>
  <si>
    <t>Cuplikan dokumen kebijakan manajemen risiko yang memuat bahwa Lini Pertama menjadi pemilik penuh risiko dan kontrol relevan di lini yang diemban; misal tugas dan tanggung jawab lini pertama.
Dokumen KPI lini pertama.</t>
  </si>
  <si>
    <t>Dokumen SK penggunaan sistem informasi IT untuk proses manajemen risiko perusahaan.
Dokumen screen shoot tampilan sistem sistem informasi IT untuk proses manajemen risiko perusahaan.</t>
  </si>
  <si>
    <t>Dokumen laporan pelaksanaan manajemen risiko perusahaan.
Dokumen laporan pemberian apresiasi dan hukuman kepada lini pertama dalam pengelolaan risiko.</t>
  </si>
  <si>
    <t>Dokumen laporan hasil pelaksanaan internal control testing dan stress testing.</t>
  </si>
  <si>
    <t>Dokumen notulen rapat antara lini kedua dan lini ketiga.
Dokumen laporan pelaksanaan manajemen risiko yang diberikan ke lini ke tiga oleh lini kedua.</t>
  </si>
  <si>
    <t xml:space="preserve">Dokumen laporan monitoring tindak lanjut temuan dan rekomendasi hasil audit eksternal maupun internal audit terkait manajemen risiko.
</t>
  </si>
  <si>
    <t>Dokumen laporan pelaksanaan manajemen risiko bulanan kepada direksi.</t>
  </si>
  <si>
    <t xml:space="preserve">Dokumen laporan monitoring tindak lanjut penyelesaian perbaikan dari RMI untuk dapat diselesaikan pada unit kerja. </t>
  </si>
  <si>
    <t>Dokumen piagam audit intern 3 tahun terakhir.</t>
  </si>
  <si>
    <t>Dokumen hasil pengkajian terhadap prosedur yang berkaitan dengan tata kelola dan pengendalian risiko dari lini ketiga.</t>
  </si>
  <si>
    <t>Dokumen pedoman/ kebijakan SPI perusahaan.</t>
  </si>
  <si>
    <t>Dokumen struktur organisasi beserta tugas dan tanggung jawab dari tim assurance dan tim risiko.</t>
  </si>
  <si>
    <t>Cuplikan dokumen kebijakan manajemen risiko atau kebijakan SPI yang memuat fungsi assurance dan fungsi pengelola risiko.</t>
  </si>
  <si>
    <t>Cuplikan dokumen kebijakan manajemen risiko atau kebijakan SPI yang memuat fungsi assurance.</t>
  </si>
  <si>
    <t>Dokumen notulen rapat diskusi antara fungsi assurance dan fungsi risiko secara rutin.</t>
  </si>
  <si>
    <t>1
2
3</t>
  </si>
  <si>
    <t>Dokumen struktur organisasi perusahaan.</t>
  </si>
  <si>
    <t>Cuplikan dokumen kebijakan manajemen risiko atau kebijakan lainnya yang memuat alur pelaporan yang jelas untuk fungsi risiko di seluruh organisasi.
Dokumen prosedur/ SOP  alur pelaporan yang jelas untuk fungsi risiko di seluruh organisasi.</t>
  </si>
  <si>
    <t xml:space="preserve">Telah ada interaksi yang efektif dan harmonis antara fungsi risiko pusat dan divisi-divisi lain dalam hierarki Manajemen Risiko (misal divisi risiko khusus/fungsi risiko di anak perusahaan) untuk menyelaraskan strategi risiko, identifikasi dan penanganan risiko utama (misal rapat mingguan/bulanan, keputusan utama yang diambil dan ada bukti bahwa keputusan tersebut efektif, dilakukan pemantauan dan pengawasan yang diberikan oleh fungsi risiko pusat yang efektif dalam menjaga jadwal proyek sesuai jadwal di semua fungsi di bawahnya). </t>
  </si>
  <si>
    <t>Dokumen notulen rapat rutin antara fungsi risiko pusat dengan divisi-divisi lain untuk menyelaraskan strategi risiko, identifikasi dan penanganan risiko utama.
Dokumen laporan hasil pemantauan oleh fungsi risiko pusat dalam menjaga jadwal proyek sesuai jadwal di semua fungsi di bawahnya.</t>
  </si>
  <si>
    <t>Dokumen laporan hasil penilaian RMI dalam 3 tahun terakhir.</t>
  </si>
  <si>
    <t>Dokumen laporan hasil pemantauan pelaksanaan manajemen risiko yang menunjukkan adanya penurunan jumlah antara prediksi peristiwa risiko yang akan terjadi dengan aktualnya.</t>
  </si>
  <si>
    <t>Cuplikan dokumen kebijakan manajemen risiko yang memuat adanya kerangka kerja manajemen risiko yang terintegrasi dengan aktivitas utama dan aktivitas pendukung untuk pencapaian sasaran strategis perusahaan.</t>
  </si>
  <si>
    <t>Cuplikan dokumen kebijakan manajemen risiko yang memuat adanya kerangka kerja manajemen risiko.
Dokumen pelaporan pelaksanaan proses manajemen risiko.</t>
  </si>
  <si>
    <t>Cuplikan dokumen kebijakan manajemen risiko yang memuat adanya kerangka kerja manajemen risiko.
Dokumen SOP pelaksanaan kerangka kerja/ proses manajemen risiko.</t>
  </si>
  <si>
    <t>Dokumen SK penunjukan tim khusus yang bertanggung jawab atas pelaksanaan rencana transformasi dan kesuksesannya.
Dokumen notulen rapat atau yang lainnya antara tim khusus transformasi ERM dengan unit bisnis dan fungsi lainnya dalam rangka perencanaan dan pelaksanaan transformasi ERM.</t>
  </si>
  <si>
    <t>Cuplikan dokumen program transformasi ERM yang memuat adanya pengukuran yang jelas atas estimasi "value- at-stake" yang akan diperoleh dari program transformasi ERM yang dimonitor ketika program diimplementasikan</t>
  </si>
  <si>
    <t>Dokumen program transformasi ERM yang memuat ruang lingkup transformasi yang menyatakan menjadi bagian dari perbaikan yang berkelanjutan, dan penerapannya sudah berdasarkan benchmark best-practice secara global.
Dokumen laporan pelaksanaan benchmark ERM</t>
  </si>
  <si>
    <t>Dokumen rencana program transformasi ERM yang jelas untuk beberapa tahun ke depan atau jangka panjang yang dapat ditindaklanjuti dan mendetail (misal lini masa, kebutuhan sumber daya, pemantauan program, dan sebagainya.</t>
  </si>
  <si>
    <t>Cuplikan dokumen kebijakan manajemen risiko atau RKAP yang memuat telah dilakukannya penyelarasan secara rutin antara strategi perusahaan dan strategi risiko untuk memastikan bahwa rencana strategis telah mempertimbangkan risiko.</t>
  </si>
  <si>
    <t>Dokumen prosedur/ SOP pembuatan rencana strategis perusahaan.
Cuplikan dokumen kebijakan manajemen risiko atau RKAP atau yang lainnya yang memuat bahwa rencana strategis perusahaan sepenuhnya mempertimbangkan risiko yang dilakukan dengan pendekatan sistematis dan terstruktur.</t>
  </si>
  <si>
    <t xml:space="preserve">Dokumen kajian risiko terhadap suatu proyek atau rencana strategis lainnya.
Cuplikan dokumen RKAP atau yang lainnya yang memuat bahwa setiap rencana strategis perusahaan telah didukung dengan  analisis risiko yang spesifik untuk keputusan tersebut. (misal kajian risiko untuk setiap rencana strategis perusahaan).
</t>
  </si>
  <si>
    <t>Dokumen  risk register beserta penilaian dan perlakuan risiko dari unit bisnis.</t>
  </si>
  <si>
    <t>Dokumen prosedur atau kerangka kerja untuk mengevaluasi peran manajemen risiko terhadap pencapaian target strategis RKAP.
Dokumen laporan hasil evaluasi peran manajemen risiko terhadap pencapaian target RKAP.</t>
  </si>
  <si>
    <t>Dokumen laporan pemantauan penyelesaian rekomendasi perbaikan atas hasil hasil evaluasi peran manajemen risiko terhadap pencapaian target RKAP.</t>
  </si>
  <si>
    <t>Dokumen hasil analisis backward-looking dan forward-looking terhadap pengaruh praktik manajemen risiko untuk pencapaian target RKAP periode berikutnya (misal analisa stress test)</t>
  </si>
  <si>
    <t>Dokumen pernyataan kapasitas risiko perusahaan.</t>
  </si>
  <si>
    <t>Dokumen prosedur/ SOP pembuatan atau penentuan kapasitas risiko perusahaan.</t>
  </si>
  <si>
    <t xml:space="preserve">Cuplikan dokumen notulen rapat atau yang lainnya tentang pensosialisasian kapasitas risiko kepada seluruh pihak yang terlibat dalam penerapan manajemen risiko perusahaan. </t>
  </si>
  <si>
    <t>Cuplikan dokumen kebijakan manajemen risiko atau yang lainnya yang memuat pernyataan bahwa kapasitas risiko menjadi dasar dalam menetapkan selera risiko, toleransi risiko, limit risiko, dan metrik strategi risiko.
Dokumen kapasitas risiko, selera risiko, toleransi risiko, limit risiko, dan metrik strtegi risiko.</t>
  </si>
  <si>
    <t>Cuplikan dokumen kebijakan manajemen risiko atau yang lainnya yang memuat pernyataan bahwa kapasitas risiko ditinjau setiap tahun dan diperbarui (jika dibutuhkan).
Dokumen kapasitas risiko 3 tahun terakhir.</t>
  </si>
  <si>
    <t>Dokumen pernyataan selera risiko</t>
  </si>
  <si>
    <t>Cuplikan dokumen pernyataan selera risiko yang memuat cakupan dimensi ambang batas kuantatif dan kualitatif.</t>
  </si>
  <si>
    <t>Pernyataan selera risiko memiliki toleransi risiko, ambang batas, dan metrik untuk beberapa risiko (misal risiko operasional, risiko pasar) baik dalam bentuk kuantatif dan  kualitatif.</t>
  </si>
  <si>
    <t>Cuplikan dokumen kebijakan manajemen risiko atau yang lainnya yang memuat nilai toleransi risiko, ambang batas, dan metrik untuk beberapa risiko (misal risiko operasional, risiko pasar) baik dalam bentuk kuantatif dan  kualitatif.</t>
  </si>
  <si>
    <t>Cuplikan dokumen kebijakan manajemen risiko atau yang lainnya yang memuat pernyataan bahwa selera risiko dikaji ulang secara rutin (misal satu tahunan).
Dokumen pernyataan selera risiko 3 tahun terakhir.</t>
  </si>
  <si>
    <t>Dokumen surat penyerahan dokumen pernyataan selera risiko ke pemangku kepentingan utama.
Dokumen notulen rapat atau daftar hadir sosialisasi pernyataan selera risiko kepada pemangku kepentingan utama.</t>
  </si>
  <si>
    <t>Cuplikan dokumen laporan tahunan yang dikirimkan ke investor yang memuat Selera risiko dan strategi risiko perusahaan.
Cuplikan display halaman web perusahaan yang memuat Selera risiko dan strategi risiko perusahaan.</t>
  </si>
  <si>
    <t>Cuplikan dokumen kebijakan manajemen risiko atau yang lainnya yang memuat pernyataan bahwa selera risiko menjadi salah satu pertimbangan dalam penyusunan rencana strategis perusahaan.
Dokumen SOP pembuatan rencana strategis perrusahaan.</t>
  </si>
  <si>
    <t>1
2
3
4</t>
  </si>
  <si>
    <t>Cuplikan dokumen laporan pelaksanaan proses manajemen risiko yang menyatakan bahwa semua eksposur risiko yang terjadi tidak melewati toleransi risiko ( karena adanya pengaktifan mitigasi setelah eksposur risiko melewati batas selera risiko).</t>
  </si>
  <si>
    <t>Cuplikan dokumen laporan tahunan yang dikirimkan ke investor yang memuat Selera risiko dan strategi risiko perusahaan.</t>
  </si>
  <si>
    <t xml:space="preserve">Dilakukan pembahasan secara aktif mengenai selera dan strategi risiko bersama pemangku kepentingan utama (misal dibahas dalaam rapat triwulanan pemegang saham). </t>
  </si>
  <si>
    <t>Dokumen notulen rapat rutin (misal 3 bulanan) antara Direksi dan Dewan Komisaris atau dokumen yang lainnya yang memuat pembahsan</t>
  </si>
  <si>
    <t>Dokumen notulen rapat yang berisikan keputusan Dewan Komisasris untuk permasalahan yang dieskalasi.
Dokumen kajian data dalam notulen rapat.</t>
  </si>
  <si>
    <t>Dokumen kebijakan perusahaan terkait dengan batasan-batasan dari isu-isu terkait risko atau permasalahan transaksi yang perlu dieskalasi ke Dewan Komisaris.</t>
  </si>
  <si>
    <t>Cuplikan dokumen kebijakan manajemen risiko yang memuat:
o  Telah ada kepemilikan dan tanggung jawab yang jelas untuk mengelola risiko-risiko utama.
o  Telah ada penanggung jawab yang jelas dan memiliki kapabilitas yang ditunjuk untuk mengelola setiap risiko utama.
o Telah ada garis tanggung jawab yang jelas dari Direktur Utama ke Lini Pertama untuk setiap risiko utama.</t>
  </si>
  <si>
    <t>Dokumen SOP asesmen risiko, prioritisasi, mitigasi, monitoring, sistem peringatan dini, dan metrik yang terperinci.
Cuplikan dokumen kebijakan risiko dan kepatuhan di tingkart group yang memuat kebijkan tingkat lokal/ Unit/ anak perusahaan utuk mencakup seluruh risiko relevan.</t>
  </si>
  <si>
    <t>1
2
3</t>
  </si>
  <si>
    <t>Dokumen laporan hasil kaji ulang dan perbaikan proses manajemen risiko teramsuk didalamnya ada feed feedback sistematis dari “near-misses” sampai dengan perbaikan proses.
Dokumen notulen rapat pembahasan revisi kebijakan risiko ke pemangku kepentingan relevan di selluruh lini.
Dokumen standar dan prosedur/ SOP turunan dari kebijakan risiko.</t>
  </si>
  <si>
    <t>Cuplikan kebijakan risiko yang memuat peristiwa revisi dokumen.</t>
  </si>
  <si>
    <t>1
2
3
4</t>
  </si>
  <si>
    <t>Dokumen daftar hadir/ bukti pengirman modul training yang berkaitan dengan risiko dan kontrol baik melalui offline ataupun online training.
Dokumen notulen pertemuan atau yang lainnya mengenai pembaruan terkini menegnai kebijakan risiko organisasi.
Dokumen SK kebijakan perusahaan mengenai penggunaan whistleblower.
Cuplikan dokumen kebijakan risiko yang memuat adanya Matriks RACI.</t>
  </si>
  <si>
    <t>Cuplikan dokumen laporan pelaksanaan proses manajemen risiko yang memuat pengelolaan risiko-risko utama perusahaan.</t>
  </si>
  <si>
    <t>1
2
3
4</t>
  </si>
  <si>
    <t>Dokumen SOP proses manajemen risiko turunan dari kebijakan manajemen risiko.
Dokumen laporan pelaksanaan proses manajemen risiko triwulanan atau tahunan.
Dokumen daftar hadir pelatihan kebijakan perusahaan untuk anggota tim yang akan melakukan kegiatan bisnis brisiko tinggi (misal tim investasi, tim pengadaan proyek, dll).
Dokumen hasil self assurance dari tim tim yang akan melakukan kegiatan bisnis brisiko tinggi (misal tim investasi, tim pengadaan proyek, dll).</t>
  </si>
  <si>
    <t>Dokumen yang memuat:
o  Kebijakan perencanaan terintegrasi
o  Kebijakan stress-testing
o  Forecasting analysis
o  Horizon scanning analysis
digunakan dalam kegiatan usaha (misal pembuatan pernyataan selera risiko, pembuatan target KPI di RKAP, dll).
Dokumen SOP pembuatan:
o  Pernyataan selera risiko, toleransi, risiko ataupu kapsitas risiko.
o  Penetapan KPI perusahaan.
o  Pembuatan kajian risiko investasi.
o Dll.</t>
  </si>
  <si>
    <t xml:space="preserve">Dokumen kebijakan/ SOP Contingency Plan.
</t>
  </si>
  <si>
    <t xml:space="preserve">Dokumen laporan hasil kajian pengimplementasian kebijakan dan prosedur risiko oleh unit MR yang dapat mencakup:
o  Identifikasi pegawai utama yang bertanggung jawab/mampu mengoperasikan prosedur dan pengendalian.
o  Evaluasi desain pengendalian (misal pengujian langsung, lokakarya) dan analisis kegagalan pengendalian untuk memitigasi risiko.
o  Peninjauan laporan audit untuk mengetahui adanya kekurangan prosedur.
o  Identifikasi KPI untuk pemantauan keefektifan proses/prosedur yang sedang berlangsung (outcome-based).
</t>
  </si>
  <si>
    <t>Dokumen kebijakan perlindungan informasi dan data.
Dokumen SOP perlindungan informasi dan data.</t>
  </si>
  <si>
    <t>Dokumen laporan hasil evaluasi pelaksanaan kebijakan dan prosedur untuk melindungi informasi dan data 3 tahun terakhir.</t>
  </si>
  <si>
    <t>Telah ada dokumentasi mengenai: 
o  Rencana manajemen krisis (alur rantai komando dalam kondisi krisis, proses untuk menangani tugas-tugas utama.) 
o  Rencana kontingensi kas/ likuiditas .</t>
  </si>
  <si>
    <t xml:space="preserve">Dokumen kebijakan/ SOP Contngency Plan.
Dokumen rencana darurat yang dapat ditindaklanjuti.
</t>
  </si>
  <si>
    <t>1
2</t>
  </si>
  <si>
    <t>Dokumen rencana manajemen krisis (alur rantai komando dalam kondisi krisis, proses untuk menangani tugas-tugas utama).
Dokumen Rencana kontingensi kas/ likuiditas .</t>
  </si>
  <si>
    <t xml:space="preserve">Dokumen laporan hasil pelaksanaan simulasi kejadian krisis.
Dokumen laporan hasil  pengujian rencana kontingensi oleh pihak independen (misal audit ISO 22301:2019). 
Dokumen BCM/ Contingency Plan 3 tahun terakhir.
Dokumen laporan hasil Tinjauan post-mortem atas simulasi dan penggabungan pembelajaran. </t>
  </si>
  <si>
    <t>1
2
3
4</t>
  </si>
  <si>
    <t>1
2
3
4</t>
  </si>
  <si>
    <t>Dokumen hasil pelaksanaan rencana keberlangsungan bisnis yang diterapkan pada kejadian- kejadian krisis di masa lampau.</t>
  </si>
  <si>
    <t>Dokumen hasil reviu dan stress test terhadap sebagian besar prosedur dan SOP utama yang berkaitan dengan risiko utama perusahaan.</t>
  </si>
  <si>
    <t xml:space="preserve">Dokumen notulen dan daftar hadir workshop simulasi krisis.
Dokumen hasil identifikasi titik-titik lemah proses/root-cause analysis pada workshop simulasi krisis. </t>
  </si>
  <si>
    <t>Dokumen katalog kontrol bottom-up yang komprehensif (misal untuk risiko siber). 
Dokumen hasil penilaian dampak secara komprehensif atas peraturan baru terhadap kebijakan/prosedur yang ada.</t>
  </si>
  <si>
    <t>Dokumen hasil pemberian konsultansi atau saran terutama mengenai kebijakan perusahaan kepada unit yang memerlukan.</t>
  </si>
  <si>
    <t>Cuplikan dokumen kebijakan manajemen risiko yang memuat kerangka ERM yang mencakup semua langkah-langkah besar Manajemen Risiko, dan memenuhi standar internasional.</t>
  </si>
  <si>
    <t>Cuplikan dokumen kebijakan manajemen risiko yang memuat peristiwa revisi dokumen.</t>
  </si>
  <si>
    <t>Ruang lingkup transformasi ini melampaui persyaratan regulator, menjadi bagian dari perbaikan berkelanjutan).</t>
  </si>
  <si>
    <t>Dokumen hasil penilaian benchmarking terhadap praktik ERM terbaik global/eksternal oleh perusahaan.</t>
  </si>
  <si>
    <t>Pengukuran yang jelas atas estimasi "value- at-stake" yang akan diperoleh dari program transformasi ERM yang dimonitor ketika program diimplementasikan (fokus ERM bergeser dari "kepatuhan" ke "value capture”).</t>
  </si>
  <si>
    <t>Cuplikan dokumen program transformasi ERM yang memuat adanya pengukuran yang jelas atas estimasi "value- at-stake" yang akan diperoleh dari program transformasi ERM.</t>
  </si>
  <si>
    <t>Telah ditetapkan jalur pelaporan dan pemisahan fungsi yang jelas dari Lini pertama ke lini kedua.</t>
  </si>
  <si>
    <t>Permodelan dan Teknologi Risiko</t>
  </si>
  <si>
    <t>Permodelan dan teknologi Risisko</t>
  </si>
  <si>
    <t>Dokumen kebijakan kepatuhan dan tata kelola  perusahaan.</t>
  </si>
  <si>
    <t xml:space="preserve">Cuplikan dokumen kebijakan kepatuhan dan tata kelola yang memuat struktur organisasi beserta tugas dan tanggung jawab serta proses pengelolaan risiko, kepatuhan, dan audit.
</t>
  </si>
  <si>
    <t>Dokumen hasil tinjauan pemeriksaan kepatuhan kebijakan perusahaan pada tahun yang diukur.
Dokumen hasil pelaksanaan audit kepatuhan.</t>
  </si>
  <si>
    <t>Dokumen prosedur/ SOP pemantauan kecukupan kepatuhan perusahaan terhadap ketentuan peraturan perundang- undangan.</t>
  </si>
  <si>
    <t>Cuplikan dokumen kebijakan pengendalian intern yang memuat tugas dan tanggung jawab lini ke satu dan lini kedua.
Dokumen prosedur/ SOP pengendalian intern.</t>
  </si>
  <si>
    <t>Dokumen kebijakan pengendalian intern.
Dokumen prosedur/ SOP pengendalian intern.</t>
  </si>
  <si>
    <t>Cuplikan dokumen pengendalian intern yang memuat wewenang dan tanggung jawab untuk pemantauan kepatuhan kebijakan dan prosedur Manajemen Risiko serta penetapan strategi Risiko.
Dokumen laporan pemantauan pelaksanaan penyelesaian temuan dan rekomendasi hasil audit.</t>
  </si>
  <si>
    <t>Dokumen SOP operasional.
Dokumen laporan hasil audit.
Dokumen tanggapan Direksdi terkait hasil audit.</t>
  </si>
  <si>
    <t>1
2
3</t>
  </si>
  <si>
    <t>Dokumen laporan keuangan dan operasional triwulanan atau tahunan.</t>
  </si>
  <si>
    <t>Dokumen hasil kaji ulang atau reviu  terhadap prosedur penilaian kegiatan operasional BUMN, sistem informasi Manajemen Risiko, dan penanganan kelemahan BUMN yang bersifat material 3 tahun terakhir.</t>
  </si>
  <si>
    <t>Dokumen hasil kaji ulang atau reviu terhadap sistem informasi manajemen risiko.</t>
  </si>
  <si>
    <t>Dokumen hasil kaji ulang atau reviu terhadap penanganan kelemahan BUMN yang bersifat material dan tindakan Direksi untuk memperbaiki penyimpangan yang terjadi.</t>
  </si>
  <si>
    <t xml:space="preserve">Dokumen hasil pemantauan penyelesaian tindak lanjut atas hasil kaji ulang/reviu kegiatan operasional BUMN, sistem informasi Manajemen Risiko, dan penanganan kelemahan BUMN yang bersifat material 3 tahun terkahir.
</t>
  </si>
  <si>
    <t>Cuplikan dokumen kebijakan manajemen risiko yang memuat taksonomi risiko perusahaan.
Cuplikan dokumen laporan pelaksanaan proses manajemen risiko yang memuat taksonomi risiko.</t>
  </si>
  <si>
    <t>Dokumen risk register unit bisnis disertai penilaian dan perlakuan risikonya.
Dokumen hasil pemantauan pelaksanaan pengelolaan risiko atau laporan pelaksanaan proses manajemen risiko.</t>
  </si>
  <si>
    <t>Dokumen laporan pelaksanaan proses manajemen risiko.</t>
  </si>
  <si>
    <t>Dokumen laporan hasil benchmarking eksternal terhadap risk universe untuk industri/ wilayah geografis.
Dokumen notulen rapat antara fungsi risiko dengan Direksi terkait perubahan lingkungan (misal ekonomi, politik, regulasi) yang dapat berdampak pada taksonomi risiko.
Dokumen laporan hasil workshop terkait taksonomi risiko.</t>
  </si>
  <si>
    <t>Cuplikan dokumen kebijakan manajemen risiko terkait dengan metodologi identifikasi risiko.
Dokumen SOP melakukan identifikasi risiko.</t>
  </si>
  <si>
    <t>Dokumen risk regsiter beserta penilaian dan perlakuan risikonya.</t>
  </si>
  <si>
    <t>Cuplikan dokumen kebijakan manajemen risiko yang membahas proses identifikasi risiko.
Dokumen prosedur/ SOP melakukan identifikasi risiko.</t>
  </si>
  <si>
    <t xml:space="preserve">Cuplikan dokumen kebijakan manajemen risiko yang membahas proses identifikasi risiko.
Dokumen prosedur/ SOP melakukan identifikasi risiko.
Dokumen risk regsiter beserta penilaian dan perlakuan risikonya.
</t>
  </si>
  <si>
    <t>1
2
3</t>
  </si>
  <si>
    <t xml:space="preserve">Dokumen hasil evaluasi kesesuain metode penilaian risiko pada tahun yang diukur.
Dokumen risk regsiter beserta penilaian dan perlakuan risikonya.
</t>
  </si>
  <si>
    <t>Cuplikan dokumen kebijakan manajemen risiko yang memuat tentang metode penugukuran risiko.
Dokumen risk regsiter beserta penilaian dan perlakuan risikonya.
Dokumen hasil lokakarya, self assessment, oustide in pakar eksternal pada saat akan membuat pengukuran risiko.
Dokumen data historis, lost event data base, data hasil internal control test dan stress test.</t>
  </si>
  <si>
    <t>1
2
3
4</t>
  </si>
  <si>
    <t>1
2
3</t>
  </si>
  <si>
    <t>Dokumen laporan penilaian risiko setiap bulan (misal risk regsiter beserta penilaian dan perlakuan risikonya yang dilakukan setiap bulan).
Dokumen hasil evaluasi realisasi dampak kualitatif maupun kuantitatif terhadap eksposur risiko yang terjadi.
Dokumen laporan pelaksanaan proses manajemen risiko.</t>
  </si>
  <si>
    <t>Cuplikan dokumen kebijakan manajemen risiko yang memuat kerangka dasar penilaian risiko.</t>
  </si>
  <si>
    <t>Cuplikan dokumen kebijakan manajemen risiko yang memuat bahwa penilaian risiko telah mempertimbangkan efektivitas pengendalian internal.
Dokumen hasil evaluasi penilaian efektivitas pengendalian internal (misal data hasil internal control test dan stress test terhadap prosedur/ SOP operasional).</t>
  </si>
  <si>
    <t>Dokumen laporan pelaksanaan proses manajemen risiko pada lini pertama dan lini kedua (misal laporan triwulan)</t>
  </si>
  <si>
    <t>Dokumen risk register yang telah dikelompokan dalam taksonomi risiko perusahaan.</t>
  </si>
  <si>
    <t>Dokumen list penentuan kriteria penilaian risiko yang digunakan (misal matriks heat map, selera risiko, toleransi risiko, kapasitas risiko, dll).</t>
  </si>
  <si>
    <t>Cuplikan dokumen laporan pelaksanaan proses manajemen risiko yang memuat hasil perlakuan risiko, KRI, dan limit risiko dari setiap risiko.</t>
  </si>
  <si>
    <t>Cuplikan dokumen kebijakan manajemen risiko yang memuat prosedur formal saat peringatan muncul/limit Risiko terlampaui.
Dokumen prosedur/ SOP tindakan yang akan diambil saat peringatan muncul/limit Risiko terlampaui.</t>
  </si>
  <si>
    <t>Cuplikan dokumen kebijakan manajemen risiko yang memaut untuk mengidentifikasi dan menganalisis risiko- risiko yang akan muncul (emerging risk) di luar kerangka risiko yang telah ada seperti risiko operasional, keuangan, dan kepatuhan.
Dokumen prosedur/ SOP untuk mengidentifikasi dan menganalisis risiko- risiko yang akan muncul (emerging risk) di luar kerangka risiko yang telah ada seperti risiko operasional, keuangan, dan kepatuhan.</t>
  </si>
  <si>
    <t>Cuplikan dokumen kebiajakan manajemen risiko yang memuat adanya sistem risk register yang terkonsolidasi mencakup seluruh Unit Bisnis, dan perhitungan eksposur risiko dalam risk register sudah terintegrasi.</t>
  </si>
  <si>
    <t>Dokumen pernyataan selera risiko.
Dokumen matriks kreteria dan matriks heat map</t>
  </si>
  <si>
    <t>Dokumen laporan hasil pengukuran risiko.
Dokumen surat atau yang lainnya yang membuktikan bahwa laporan hasil pengukuran risiko sudah dikomunikasikan kepada pimpinan unit kerja/fungsi dan pimpinan perusahaan.</t>
  </si>
  <si>
    <t>Cuplikan dokumen kebijakan manajemen risiko yang memuat cara untuk memprioritaskan risiko.
Dokumen notulen rapat  pemrioritasan risiko.
Dokumen-dokumen dari proses pemrioritasan risiko mulai dari awak sampai akhir sampai diperoleh risiko utama atau risiko prioritas.</t>
  </si>
  <si>
    <t>Cuplikan dokumen kebijakan manajemen risiko yang memuat tentang proses integrasi risiko oleh Unit Bisnis dan unit risiko pusat.
Dokumen notulen rapat untuk pengintegrasian risiko antara unit bisnis dengan unit risiko pusat.
Dokumen risiko hasil integrasi antara unit bisnis dengan unit risiko pusat.</t>
  </si>
  <si>
    <t>Cuplikan dokumen kebijakan manajemen risiko yang memuat bahwa proses integrasi dilakukan secara bottom up sehingga risiko utama perusahaan dapat ditentukan.
Dokumen notulen rapat untuk pengintegrasian risiko antara unit bisnis dengan unit risiko pusat.
Cuplikan dokumen laporan pelaksanaan proses manajemen risiko yang memuat proses pengintegrasian risiko.</t>
  </si>
  <si>
    <t>Dokumen SOP penyusunan mitigasi risiko.
Dokumen-dokumen dari proses penyusunan mitigasi untuk risiko utama.</t>
  </si>
  <si>
    <t>Cuplikan dokumen kebijakan manajemen risiko yang memuat penanggung jawab dari setiap risiko utama.
Dokumen surat penunjukan penanggung jawab untuk setiap risiko utama.</t>
  </si>
  <si>
    <t>Dokumen mitigasi risiko utama.</t>
  </si>
  <si>
    <t>Cuplikan dokumen kebijakan manajemen risiko yang memuat proses/alur untuk mengelola setiap risiko utama sesuai dengan definisi selera risiko termasuk untuk emerging risk.
Dokumen prosedur/ SOP untuk mengelola risiko utama.</t>
  </si>
  <si>
    <t>Dokumen pemantauan pelaksanaan rencana mitigasi.</t>
  </si>
  <si>
    <t>Dokumen notulen rapat rutin terkait manfaat mitigasi dan pemakaian sumber daya yang digunakan dalam mitigasi kepada fungsi manajemen risiko (pusat mapun unit bisnis atau anak perusahaan).</t>
  </si>
  <si>
    <t>Dokumen rencana kontingensi dari setiap risiko utama perusahaan.</t>
  </si>
  <si>
    <t>Dokumen hasil sosialisasi terkait kebijakan dan proses pengelolaan risiko-risiko utama.</t>
  </si>
  <si>
    <t>Dokumen hasil perhitungan dampak residual dari setiap risiko utama.</t>
  </si>
  <si>
    <t>Identifikasi dari pengelolaan eksposur risiko yang berada diatas selera risiko.</t>
  </si>
  <si>
    <t>Dokumen notulen rapat bulanan terakait  strategi penanganan ketidaksesuaian antara eksposur risiko aktual dan selera risiko.</t>
  </si>
  <si>
    <t>Dokumen laporan pemantauan eksposur risiko yang terjadi di tahun yang diukur.</t>
  </si>
  <si>
    <t>Dokumen hasil evaluasi pelaksanaan  strategi penanganan ketidaksesuaian antara eksposur risiko aktual dan selera risiko di tahun yang diukur.</t>
  </si>
  <si>
    <t>Dokumen laporan pelaksanaan proses manajemen risiko triwulanan dan tahunan.</t>
  </si>
  <si>
    <t>Dokumen laporan pelaksanaan proses manajemen risiko dari unit bisnis dan anak perusahaan.</t>
  </si>
  <si>
    <t>Dokumen hasil proses perhitungan kuantitatif dan analisis dampak berbasis risiko secara mendetail yang dikonsolidasikan ke dampak tingkat integrasian (misal P/L, arus kas) untuk seluruh risiko utama perusahaan.</t>
  </si>
  <si>
    <t>Dokumen surat penunjukan tim risk model and analytics in- house khusus yang memiliki kapabilitas Manajemen Risiko dan kemampuan manajemen model khusus di semua tahapan siklus hidup manajemen model.</t>
  </si>
  <si>
    <t>Dokumen validasi model risiko oleh pihak validator independen 3 tahun terakhir.</t>
  </si>
  <si>
    <t>1
2
3</t>
  </si>
  <si>
    <t>Dokumen surat penerapan teknologi dan algoritma Artificial Intelligence/Machine Learning (AI/ML) dalam model risiko oleh perusahaan.
Dokumen screen shoot display penggunaan teknologi dan algoritma Artificial Intelligence/ Machine Learning (AI/ML) dalam model risiko.
Dokumen SOP penggunaan  teknologi dan algoritma Artificial Intelligence/Machine Learning (AI/ML) dalam model risiko.</t>
  </si>
  <si>
    <t>Dokumen screen shoot display penggunaan aplikasi/ modul program model risiko yang memperlihatkan Data risiko digunakan dan menjadi input otomatis untuk setiap analisis dan model.</t>
  </si>
  <si>
    <t>Dokumen surat pemberitahuan atau sosialisasi penggunaan aplikasi Advanced Analytics Manajemen Risiko yang telah matang (misal Early Warning System/EWS, anti-fraud, penagihan).
Dokumen screen shoot display penggunaan aplikasi Advanced Analytics Manajemen Risiko yang telah matang (misal Early Warning System/EWS, anti-fraud, penagihan).</t>
  </si>
  <si>
    <t>Dokumen screen shoot display dari toll kit atau aplikasi untuk pelaporan proses manajemen risiko secara real time/ otomatis.</t>
  </si>
  <si>
    <t>Dokumen screen shoot display dari aplikasi yang dapat mengeluarkan early warning ketika batas suatu risiko terlampui.
Dokumen screen shoot display dari aplikasi yang dapat melakukan input data, penarikan data, dan perekaman data secara otomatis untuk memfasilitasi penilaian risiko secara kuantitatif/kualitatif.
Dokumen screen shoot display dari aplikasi yang dapat secararutin melakukan proses penilaian risiko  (misal automated cyber controls status testing untuk infrastruktur TI).</t>
  </si>
  <si>
    <t>Dokumen prosedur/ SOP yang ada di perusahaan.
Dokumen hasil pelaksanaan sosialisasi SOP ke seluruh lini perusahaan.</t>
  </si>
  <si>
    <t>Dokumen screen shoot display dari aplikasi intranet untuk pengaksesan SOP terbaru.</t>
  </si>
  <si>
    <t>Dokumen sertifikat pelatihan kondisi kritis dari jajaran pimpinan.
Dokumen sertifikat pelatihan BCM dari tim operasional.
Dokumen rencana keberlangsungan bisnis tingkat fungsi.
Dokumen pendefinisian model operasi krisis di setiap lini.</t>
  </si>
  <si>
    <t>Dokumen laporan hasil penilaian stress test.</t>
  </si>
  <si>
    <t>Laporan evaluasi atau tinjauan dari Direksi terhadap:
o  Kebijakan prosedur manajemen risiko.
o  Penetapan batasan risiko dan ambang batas (risk appetite, riks tolerance, risk capacity).
o  Kecukupan implementasi sistem informasi manajemen risiko yang terintegrasi dengan sistem informasi lainnya,
o  Keakuratan metodologi penilaian risiko.</t>
  </si>
  <si>
    <t>Teknik pemodelan risiko yang diterapkan secara konsisten di seluruh Unit Bisnis/anak perusahaan (misal pada SOP, bakat pemodelan, tata kelola, mandat, dan kapabilitas lainnya yang dibagikan/ diturunkan).</t>
  </si>
  <si>
    <t>Dokumen surat penggunaan jenis model risiko beserta area penggunaannya.
Dokumen kebijakan manajemen risiko dan SOP proses manajemen risiko.</t>
  </si>
  <si>
    <t>Dokumen screen shoot display penggunaan digitalisasi dan otomatisasi terhadap manajemen model di seluruh siklus hidup model secara menyeluruh pada yang ada pada display di pusat sistem/ kontrol sistem aplikasi manajemen risiko.</t>
  </si>
  <si>
    <t>Dokumen struktur program aplikasi dan sistem jaringannya aplikasi sistem manajemen risiko.</t>
  </si>
  <si>
    <t>1
2
3</t>
  </si>
  <si>
    <t>Dokumen display dash board informasi mengenai eksposur risiko, kebijakan dan prosedur Manajemen Risiko, dan limit risiko pada aplikasi.</t>
  </si>
  <si>
    <t>Dokumen display dash board sistem penyimpanan data risiko yang terpusat dan terintegrasi.
Dokumen laporan manajemen risiko yang langsung di print dari sistem aplikasi.</t>
  </si>
  <si>
    <t>Dokumen display dash board yang memperlihatkan data semua jenis risiko material perusahaan, termasuk data untuk risiko kualitatif dan jenis risiko yang muncul (misal data risiko privasi).</t>
  </si>
  <si>
    <t>Dokumen display dash board yang memperlihatkan data kerugian internal, termasuk near-misses.</t>
  </si>
  <si>
    <t>Dokumen display dash board yang memperlihatkan proses data entry secara otomatis.
Dokumen display dash board yang memperlihatkan proses pelaporan risiko secara otomatis.</t>
  </si>
  <si>
    <t>Dokumen laporan pelaksanaan program penanaman budaya risiko dan sadar risiko di tahun yang diukur (misal sosialisasi, kampanye, risk award dan sebagainya serta laporan pelaksanaannya).</t>
  </si>
  <si>
    <t xml:space="preserve">Dokumen keikutsertaan Direksi dalam program pengembangan budaya risiko seperti memberikan sosialisasi, kehadiran dalam dalam suatu program budaya risiko (notulen rapat, absensi, dll).
Dokumen Surat keputusan Direksi untuk pelaksanaan program budaya risiko atau lain-lainya yang terkait (misal tercantum dalam kebijakan budaya kerja perusahaan atau kebijakan menajemen risiko, atau yang lainnya).  </t>
  </si>
  <si>
    <t>Cuplikan dokumen kebijakan manajemen risiko yang memuat aturan penyimpanan data risiko terpusat khusus untuk Manajemen Risiko yang rutin diperbarui (paling sedikit setiap triwulan) yang dapat digunakan oleh pengguna yang tepat, mencakup data risiko dari perusahaan induk dan anak perusahaan dengan metrik-metrik terstandar.
Dokumen SOP penyimpanan data risiko terpusat khusus untuk Manajemen Risiko.
Laporan rutin (triwulanan) terkait data risiko perusahaan induk dan anak perusahaan dengan metrik-metrik terstandar yang dikeluarkan oleh unit manajemen risiko pusat..</t>
  </si>
  <si>
    <t>Cuplikan dokumen kebijakan manajemen risiko yang memuat proses terstruktur untuk menyusun strategi penanganan ketidaksesuaian antara eksposur risiko aktual dan selera risiko: 
o  Menyusun basis fakta/data mengenai risiko. 
o  Melakukan analisis risiko.
o  Memaparkan opsi-opsi kepada jajaran manajemen.
Dokumen prosedur/ SOP proses terstruktur untuk menyusun strategi penanganan ketidaksesuaian antara eksposur risiko aktual dan selera risiko: 
o  Menyusun basis fakta/data mengenai risiko. 
o  Melakukan analisis risiko.
o  Memaparkan opsi-opsi kepada jajaran manajemen.</t>
  </si>
  <si>
    <t>1
2</t>
  </si>
  <si>
    <t>REVIU DOKUMEN</t>
  </si>
  <si>
    <t xml:space="preserve">Dokumen laporan hasil evaluasi atau tinjuan berkala atas struktur tata kelola risiko atau SK untuk penentuan struktur tata kelola risiko 3 tahun terakhir atau culikan dokumen revisi pedoman manajemen risiko yang berisikan struktur tata kelola risiko.
Surat penunjukan yang jelas untuk pimpinan yang bertanggung jawab atas risiko risiko utama perusahaan. </t>
  </si>
  <si>
    <t>Minimal terdapat satu anggota Dekom/Dewas yang memiliki pengalaman MR di industrinya dan mampu melihat potensi-potensi risiko.</t>
  </si>
  <si>
    <t>Dokumen sertifikasi profesi dan pengalaman kerja dari salah satu anggota Dekom/ Dewas yang memiliki pengalaman MR di industrinya dan mampu melihat potensi-potensi risiko.</t>
  </si>
  <si>
    <t>Dokumen struktur organisasi dewan Komisaris/ Dewan Pengawas.</t>
  </si>
  <si>
    <t>Dokumen struktur organisasi Dewan Komisaris beserta tugas dan tanggung jawabnya.</t>
  </si>
  <si>
    <t xml:space="preserve">Peran komite komite di bawah Dewan Komisaris/ Dewan Pengawas </t>
  </si>
  <si>
    <t xml:space="preserve">Lebih dari satu komite khusus di bawah Dewan Komisaris/ Dewan Pengawas (sekurang-kurangnya komite audit, komite risiko, dan komite tata kelola terintegrasi) dengan tanggung jawab yang jelas: 
•  Komite risiko bekerja secara independen terpisah dari Komite Dewan Komisaris lainnya. 
•  Komite risiko memiliki anggota dari manajemen senior dan tim risiko. </t>
  </si>
  <si>
    <t>Komite risiko Dewan Komisaris dilibatkan tiga bulan sekali untuk mengikuti rapat komite risiko.</t>
  </si>
  <si>
    <t>Cuplikan dokumen pedoman atau tugas dan tanggung jawab Komite Risiko yang mengharuskan mengikuti rapat komite risiko minimal 3 bulan sekali.
Dokumen notulen rapat komite risiko yang diikuti Komite Risiko Dewan Komisaris.</t>
  </si>
  <si>
    <t>Fungsi Risiko melapor ke Dewan Komisaris/ Dewan Pengawas.</t>
  </si>
  <si>
    <t>Cuplikan dokumen kebijakan manajemen risiko dan prosedur yang memuat tentang revisi yang telah dilakukan.
Dokumen laporan evaluasi terhadap kerangka kerja risiko.</t>
  </si>
  <si>
    <t>Program diperbarui secara rutin</t>
  </si>
  <si>
    <t>Dokumen laporan evaluasi pelaksanaan transformasi ERM tahunan.</t>
  </si>
  <si>
    <t>Dalam konteks transformasi ESG: 
o  Risiko ESG/Iklim telah tercantum pada taksonomi 
o  Implikasi risiko ESG/Iklim dimasukkan secara jelas ke dalam Kerangka Kerja ERM 
o  Telah ada tim khusus ESG/Iklim yang dibentuk. 
o  Telah dilakukan analisis terhadap dampak risiko ESG/Iklim pada portofolio. 
o  Tersedia beberapa analisis dan data o Telah ada target khusus yang ditetapkan dan dikomunikasikan.
o  Telah ada rencana jangka panjang untuk mencapai target. 
0  Perusahaan menggali peluang bisnis
baru dan pertumbuhan dari agenda 
ESG/Iklim</t>
  </si>
  <si>
    <t>Cuplikan dokumen kebijakan manajemen risiko atau yang lainya yang memuat risk ESG/ ikim telah masuk dalam taksonomi.
Cuplikan dokumen kebijakan manajemen risiko atau yang lainnya yang memuat implikasi risiko ESG/ iklim telah dimasukkan secara jelas ke dalam Kerangka Kerja ERM.
Dokumen SK penunjukan tim khusus ESG/Iklim.
Dokumen laporan hasil analisis dan data terkait risiko ESG/ iklim.
Dokumen kebijakan atau yang lainnya yang mencantumkan target khusus tentang transformasi ESG/ iklim.
Dokumen yang berisikan program transformasi ESG jangka panjang.
Cuplikan dokumen program tarnsformasi ESG atau yang lainnya yang memuat bahwa perusahaan mempunyai program untuk menggali peluang bisnis baru dan pertumbuhan melalui agenda ESG/Iklim</t>
  </si>
  <si>
    <t>1
2
3
4
5
6</t>
  </si>
  <si>
    <t xml:space="preserve">Telah ada bukti yang jelas atas kinerja penerapan manajemen risiko dalam penyusunan rencana strategis, di antaranya metrik yang menilai keberhasilan strategi perusahaan ditetapkan dengan target yang dikaitkan dengan analisis risiko yang sesuai (misal tradeoff dari pengambilan keputusan strategis dipertimbangkan dalam scenario analysis). Pemantauan progres strategi perusahaan melibatkan personel risiko senior. </t>
  </si>
  <si>
    <t>Dokumen hasil analisis yang dilakukan oleh fungsi strategis dalam penentuan target - target rencana strategis perusahaan yang menerapkan analisis risiko untuk menentukan target-target tersebut.
Dokumen laporan pemantauan progres strategi perusahaan yang dipantau oleh personel risiko senior (misal Direksi atau kepala divisi).</t>
  </si>
  <si>
    <t>Kegiatan kepatuhan berfokus pada 
pemenuhan kebijakan perusahaan, 
bukan hanya persyaratan regulator.</t>
  </si>
  <si>
    <t>Dokumen tinjauan atau evaluasi kegiatan kepatuhan pada pemenuhan kebijakan perusahaan.</t>
  </si>
  <si>
    <t>Telah ada pemisahan yang jelas antara peran dan tanggung jawab jabatan divisi risiko (khususnya risiko operasional) kepatuhan dan audit, contohnya: 
o  Rapat terdokumentasi untuk bersama- sama menyelaraskan prioritas inisiatif 
perbaikan/mengoordinasikan tindakan untuk menghindari duplikasi mitigasi/rencana kerja.
0  Peninjauan bersama atas peran dan tanggung jawab yang telah dikodifikasi (misal kebijakan) untuk meminimalkan tumpang tindih dan memperjelas kepemilikan tugas dan kegiatan antara risiko, audit, dan kepatuhan.</t>
  </si>
  <si>
    <t>Cuplikan dokumen kebijakan kepatuhan dan tata kelola yang memuat struktur organisasi beserta tugas dan tanggung jawab dari divisi risko,  kepatuhan, dan audit.
Dokumen notulen rapat antara divisi risiko,  kepatuhan, dan audit terkait penyelarasan prioritas inisiatif perbaikan/ mengoordinasikan tindakan untuk menghindari duplikasi mitigasi/rencana kerja.
Dokumen hasil tinjauan atas peran dan tanggung jawab yang telah dikodifikasi (misal kebijakan) untuk meminimalkan tumpang tindih dan memperjelas kepemilikan tugas dan kegiatan antara risiko, audit, dan kepatuhan.</t>
  </si>
  <si>
    <t>1
2
3</t>
  </si>
  <si>
    <t>Cuplikan dokumen kebijakan pengedalian internyang memuat struktur organisasi perusahaan.</t>
  </si>
  <si>
    <t>Kualitas data risiko sangat baik dan konsisten di seluruh lini Perusahaan. Ditunjang dengan :
• Pelaporan berkala mengenai kontrol kualitas data secara menyeluruh dan pelaporan mengenai kekurangan kualitas data
• Jalur eskalasi yang jelas untuk menyelesaikan masalah terkait data</t>
  </si>
  <si>
    <t>Dokumen pelaporan berkala mengenai kontrol kualitas data secara menyeluruh dan pelaporan mengenai kekurangan kualitas data.</t>
  </si>
  <si>
    <t>Telah ada pengelolaan kualitas data secara otomatis dan pemanfaatan teknologi (misal teknik berbasis AI/ML) untuk mempercepat identifikasi dan remediasi masalah kualitas data)</t>
  </si>
  <si>
    <t>Dokumen SK penggunaan ppengelolaan kualitas data secara otomatis dan pemanfaatan teknologi (misal teknik berbasis AI/ML) untuk mempercepat identifikasi dan remediasi masalah kualitas data)</t>
  </si>
  <si>
    <t>Dokumen laporan pemantauan risiko utama oleh lini 2.
Dokumen laporan kinerja perusahaan yang membuktikan bahwa kinerja perusahaan telah melebihi target.</t>
  </si>
  <si>
    <t>SCORE KRITERIA</t>
  </si>
  <si>
    <t>Dokumen rencana audit tahunan yang berbasis risiko tahun yang diukur.</t>
  </si>
  <si>
    <t>Dokumen laporan pemantauan dari lini ketiga terhadap pelaksanaan rencana audit tahunan dan rencana tindakan perbaikan dari auditee.</t>
  </si>
  <si>
    <t>Dokumen laporan pemantauan penyelesaian Rekomendasi perbaikan atas hasil evaluasi efektivitas pelaksanaan pengendalian intern, manajemen risiko, dan proses tata kelola perusahaan oleh lini ketiga telah dijalankan seluruhnya 
(100%) oleh manajemen.</t>
  </si>
  <si>
    <t>Dokumen laporan monitoring pelaksanaan penyelesaian temuan dan rekomendasi terhadap pengelolaan risiko oleh lini ketiga.</t>
  </si>
  <si>
    <t xml:space="preserve">Cuplikan dokumen kebijakan manajemen risiko atau kebijakan lainnya yang memuat adanya mandat/hubungan formal bagi fungsi risiko pusat untuk memonitor risiko di seluruh lini perusahaan, termasuk dengan anak perusahaan.
</t>
  </si>
  <si>
    <t xml:space="preserve">1
</t>
  </si>
  <si>
    <t>Dilakukan kaji ulang / reviu rutin terhadap Pernyataan Selera Risiko (misal tahunan) sebagai bagian dari proses formal.</t>
  </si>
  <si>
    <t>Cuplikan dokumen kebijakan manajemen risiko atau yang lainnya yang memuat tentang selera risiko.
Cuplikan dokumen RKAP yang memuat bahwa rencana strategis yang dibuat telah mempertimbangkan konteks selera risiko.
Dokumen SOP pembuatan selera risiko.
Dokumen SK atau yang lainnya yang menyatakan adanya kewajiban untuk mematuhi selera risiko dan prosedur untuk memberikan persetujuan atas setiap pengecualian.</t>
  </si>
  <si>
    <t>Ciplikan dokumen kebijakan risiko yang memuat rencana kontingensi.</t>
  </si>
  <si>
    <t>Selera risiko secara efektif diterapkan di perusahaan, termasuk: 
o   Keputusan strategis dibuat dengan mempertimbangkan konteks selera risiko. 
o  Proses bisnis yang melibatkan keputusan terkait dengan pernyataan selera risiko harus dimodifikasi untuk memastikan kepatuhan terhadap pernyataan selera risiko (misal perencanaan strategis, perencanaan modal, stress testing). 
o  Pernyataan selera risiko dibuat secara bertahap (misal metrik khusus Unit Bisnis) dengan arahan yang jelas untuk diselaraskan dengan pernyataan selera risiko di tingkat perusahaan. 
o  Telah ada peraturan yang jelas mengenai kewajiban untuk mematuhi selera risiko dan prosedur untuk memberikan persetujuan atas setiap pengecualian.</t>
  </si>
  <si>
    <t>Direksi BUMN Induk memantau implementasi kebijakan harmonisasi dengan kebijakan BUMN Induk.</t>
  </si>
  <si>
    <t>Direksi BUMN Induk melakukan pemantauan Risiko secara terstruktur dan terintegrasi antara BUMN Induk dengan Anak serta memastikan dijalankannya mitigasi ataupun menyiapkan mitigasi baru untuk menurunkan tingkat risiko tersebut sehingga tingkat risiko turun sesuai dengan target</t>
  </si>
  <si>
    <t>Dewan Komisaris/Dewan Pengawas melakukan evaluasi kebijakan Tata Kelola Terintegrasi dan mengarahkan untuk penyempurnaan. Dewan Komisaris/Dewan Pengawas mengawasi pelaksanaan penyempurnaan kebijakan Tata Kelola Terintegrasi.</t>
  </si>
  <si>
    <t>Dewan Komisaris/Dewan Pengawas mengawasi penerapan Tata Kelola Terintegrasi pada Anak Perusahaan BUMN agar selaras dengan kebijakan Tata Kelola Terintegrasi BUMN Induk dan Anak Perusahaan BUMN’</t>
  </si>
  <si>
    <t>Dewan Komisaris/Dewan Pengawas telah melaksanakan pengawasan dan pemberian nasihat terhadap pelaksanaan fungsi Tata Kelola Terintegrasi lainnya sesuai dengan ketentuan peraturan perundang-undangan, anggaran dasar, dan/atau keputusan RUPS/Menteri.</t>
  </si>
  <si>
    <t xml:space="preserve">Cuplikan dokumen kebijakan tata kelola yang memuat bahwa Direksi BUMN Induk telah menetapkan kebijakan pada tingkat BUMN Induk yang diharmonisasikan dengan kebijakan pada tingkat Anak Perusahaan BUMN.
</t>
  </si>
  <si>
    <t>Cuplikan dokumen kebijakan tata kelola yang memuat Direksi BUMN Induk memantau implementasi kebijakan harmonisasi dengan kebijakan BUMN Induk.
Dokumen evaluasi pemantauan implementasi kebijakan harmonisasi dengan kebijakan BUMN Induk.</t>
  </si>
  <si>
    <t>Cuplikan dokumen kebijakan tata kelola yang memuat Direksi BUMN induk menindaklanjuti arahan atau nasihat Dewan Komisaris/Dewan Pengawas dalam rangka penyempurnaan Kebijakan Tata Kelola Terintegrasi.
Dokumen pemantauan pelaksanaan Direksi BUMN induk menindaklanjuti arahan atau nasihat Dewan Komisaris/Dewan Pengawas dalam rangka penyempurnaan Kebijakan Tata Kelola Terintegrasi beserta evaluasinya.</t>
  </si>
  <si>
    <t>Dokumen pelaksanaan Direksi BUMN Induk melakukan pemantauan Risiko secara terstruktur dan terintegrasi antara BUMN Induk dengan Anak serta memastikan dijalankannya mitigasi ataupun menyiapkan mitigasi baru untuk menurunkan tingkat risiko tersebut sehingga tingkat risiko turun sesuai dengan target beserta evaluasinya.</t>
  </si>
  <si>
    <t>Dokumen pemantauan Dewan Komisaris/Dewan Pengawas mengawasi penerapan Tata Kelola Terintegrasi pada Anak Perusahaan BUMN agar selaras dengan kebijakan Tata Kelola Terintegrasi BUMN Induk dan Anak Perusahaan BUMN beserta evaluasinya.</t>
  </si>
  <si>
    <t>Dokumen pemantauan Dewan Komisaris/Dewan Pengawas mengawasi pelaksanaan tugas dan tanggung jawab Direksi BUMN Induk, serta memberikan arahan atau nasihat kepada Direksi BUMN Induk atas pelaksanaan kebijakan Tata Kelola Terintegrasi beserta evaluasinya.</t>
  </si>
  <si>
    <t>Dokumen evalausi hasil Dewan Komisaris/Dewan Pengawas dalam melaksanakan pengawasan dan pemberian nasihat terhadap pelaksanaan fungsi Tata Kelola Terintegrasi lainnya sesuai dengan ketentuan peraturan perundang-undangan, anggaran dasar, dan/atau keputusan RUPS/Menteri.</t>
  </si>
  <si>
    <t xml:space="preserve">Dokumen evaluasiDewan Komisaris/Dewan Pengawas melakukan evaluasi kebijakan Tata Kelola Terintegrasi dan mengarahkan untuk penyempurnaan.
Dokumen pemantauan Dewan Komisaris/Dewan Pengawas mengawasi pelaksanaan penyempurnaan kebijakan Tata Kelola Terintegrasi beserta evaluasinya.
</t>
  </si>
  <si>
    <t>Dewan Komisaris/Dewan Pengawas
mengawasi pelaksanaan tugas dan 
tanggung jawab Direksi BUMN Induk, 
serta memberikan arahan atau nasihat 
kepada Direksi BUMN Induk atas 
pelaksanaan kebijakan Tata Kelola 
Terintegrasi.</t>
  </si>
  <si>
    <t xml:space="preserve">1
2
</t>
  </si>
  <si>
    <t xml:space="preserve">Cuplikan dokumen kebijakan manajemen risiko atau kebijakan lainnya yang memuat adanya kewenangan fungsi risiko pusat dan tingkat Unit Bisnis/anak perusahaan didefinisikan dan dikomunikasikan dengan baik. 
</t>
  </si>
  <si>
    <t>1
2
3</t>
  </si>
  <si>
    <t>Dokumen bukti pelaksanaan sosialisasi atas hasil Penilaian RMI dan pemantauan progres tindak lanjut atas rekomendasi Penilaian RMI kepada Direksi dan Dewan  Komisaris serta pemangku kepentingan terkait. ( laporan sosialisasi, notulen rapat, presentasi PPT, dll).
Dokumen pemantauan tindak lanjut atas rekomendasi Penilaian RMI.</t>
  </si>
  <si>
    <t>SCORE PARAMETER</t>
  </si>
  <si>
    <t>DIMENSI</t>
  </si>
  <si>
    <t>SKOR PARAMETER</t>
  </si>
  <si>
    <t>SKOR DIMENSI</t>
  </si>
  <si>
    <t>Budaya dan Kapablitas Risiko</t>
  </si>
  <si>
    <t>Budaya Risiko</t>
  </si>
  <si>
    <t>Internalisasi budaya risiko dalam budaya perusahaan</t>
  </si>
  <si>
    <t>Peran penilaian RMI dalam upaya peningkatan praktik Manajemen Risiko</t>
  </si>
  <si>
    <t>Program Peningkatan keahlian risiko</t>
  </si>
  <si>
    <t>Organisasi dan Tata Kelola risiko</t>
  </si>
  <si>
    <t>Organ Pengelola Risisko</t>
  </si>
  <si>
    <t>Efektivitas pengelola risiko</t>
  </si>
  <si>
    <t>Tingkat kematangan organ pengelola risiko</t>
  </si>
  <si>
    <t>Peran dan Tanggung Jawab Organ Pengelola Risiko</t>
  </si>
  <si>
    <t>Keterlibatan aktik Dekom/ Dewas dalam pengelolaan risiko</t>
  </si>
  <si>
    <t>Eskalasi permasalahan kepada Dekom/ Dewas</t>
  </si>
  <si>
    <t>Tingkat pemahaman risiko di jajaran Dekom/ Dewas</t>
  </si>
  <si>
    <t>Peran Komite-Komite di bawah Dekom/ Dewas</t>
  </si>
  <si>
    <t>Pengurusan aktif Direksi dalam pengelolaan risiko</t>
  </si>
  <si>
    <t>Mandat, wewenang, dan independensi fungsi manajemen risiko untuk memantau semua risiko</t>
  </si>
  <si>
    <t>Efektivitas pengelola risiko dalam menjalankan tugasnya</t>
  </si>
  <si>
    <t>Model Tata Kelola Risiko Tiga Lini dan Tata Kelola Terintegrasi</t>
  </si>
  <si>
    <t>Penerapan model tata kelola tiga lini</t>
  </si>
  <si>
    <t>Peran dan fungsi lini pertama</t>
  </si>
  <si>
    <t>Peran dan fungsi lini kedua</t>
  </si>
  <si>
    <t>Peran dan fungsi lini ketiga</t>
  </si>
  <si>
    <t>Interaksi antara fungsi risiko dan assurance</t>
  </si>
  <si>
    <t>Peran dan fungsi tata kelola terintegrasi</t>
  </si>
  <si>
    <t>Monitoring risiko entitas induksampai entitas anak</t>
  </si>
  <si>
    <t>Strategi Risiko</t>
  </si>
  <si>
    <t>Peningkatan kualitas kerangka manajemen risiko</t>
  </si>
  <si>
    <t>Rencana transformasi Enterprise Risk Management (ERM)</t>
  </si>
  <si>
    <t xml:space="preserve">Hubungan peran manajemen risiko terhadap pencapaian target strategsi RKAP </t>
  </si>
  <si>
    <t>Kapasitas risiko</t>
  </si>
  <si>
    <t>Selera risiko</t>
  </si>
  <si>
    <t>Komunikasi selera risiko kepada pemangku kepentingan eksternal</t>
  </si>
  <si>
    <t>Kebijakan risiko</t>
  </si>
  <si>
    <t>Prosedur risiko</t>
  </si>
  <si>
    <t>Rencana darurat (contingency plan) dalam kondisi terburuk (worst case scenario)</t>
  </si>
  <si>
    <t>Reviu dan stress test terhadap prosedur dan SOP</t>
  </si>
  <si>
    <t>Fungsi Kepatuhan</t>
  </si>
  <si>
    <t>Organ fungsi kepatuhan dan perannya</t>
  </si>
  <si>
    <t>Efektivitas Manajemen Risiko dan Pengendalian Internal</t>
  </si>
  <si>
    <t>Penerapan kerangka integrated ERM</t>
  </si>
  <si>
    <t>Efektivitas pengendalian internal</t>
  </si>
  <si>
    <t>Identifikasi risiko utama</t>
  </si>
  <si>
    <t>Pengukuran dan Prioritisasi Risiko</t>
  </si>
  <si>
    <t>Pengukuran risiko</t>
  </si>
  <si>
    <t>Kerangka proses pengukuran risiko untuk prioritisasi risiko</t>
  </si>
  <si>
    <t>Agregasian atas seluruh risiko utama</t>
  </si>
  <si>
    <t>Perlakuan Risiko</t>
  </si>
  <si>
    <t>Aktivitas perlakuan atas risiko utama</t>
  </si>
  <si>
    <t>Proses identifikasi dan pengelolaan risiko yang berada di atas selera risiko</t>
  </si>
  <si>
    <t>Pelaporan risiko melaporkan risiko secara real-time</t>
  </si>
  <si>
    <t>Model, data, dan Teknologi Risiko</t>
  </si>
  <si>
    <t>Permodelan dan teknologi risiko</t>
  </si>
  <si>
    <t>SKOR ASPEK DIMENSI</t>
  </si>
  <si>
    <t>ASPEK DIMENSI</t>
  </si>
  <si>
    <t>Parameter</t>
  </si>
  <si>
    <t xml:space="preserve">Dimensi </t>
  </si>
  <si>
    <t>Deskripsi</t>
  </si>
  <si>
    <t>Skor Dimensi</t>
  </si>
  <si>
    <t>Skor</t>
  </si>
  <si>
    <t>1 s.d. 3</t>
  </si>
  <si>
    <t xml:space="preserve">Budaya dan Kapabiltas Risiko </t>
  </si>
  <si>
    <t>4 s.d. 19</t>
  </si>
  <si>
    <t>Organisasi dan Tata Kelola Risiko</t>
  </si>
  <si>
    <t>20 s.d. 33</t>
  </si>
  <si>
    <t>Kerangka Risiko dan Kepatuhan</t>
  </si>
  <si>
    <t xml:space="preserve">34 s.d. 39 </t>
  </si>
  <si>
    <t>Proses dan Kontrol Risiko</t>
  </si>
  <si>
    <t>40 s.d. 42</t>
  </si>
  <si>
    <t>Model, Data, dan Teknologi Risiko</t>
  </si>
  <si>
    <t>1 s.d. 42</t>
  </si>
  <si>
    <t>Skor Aspek Dimensi</t>
  </si>
  <si>
    <t>ASPEK KINERJA</t>
  </si>
  <si>
    <t>No</t>
  </si>
  <si>
    <t>Aspek</t>
  </si>
  <si>
    <t>Nilai Aspek</t>
  </si>
  <si>
    <t>Nilai Konversi</t>
  </si>
  <si>
    <t>Bobot</t>
  </si>
  <si>
    <t>Nilai Konversi x Bobot</t>
  </si>
  <si>
    <t>Tingkat Kesehatan  Peringkat Akhir  (Final Rating)</t>
  </si>
  <si>
    <t>Peringkat Komposit Risiko</t>
  </si>
  <si>
    <t>1 sd 2</t>
  </si>
  <si>
    <t>Skor Aspek Kinerja</t>
  </si>
  <si>
    <t>Penyesuaian Skor</t>
  </si>
  <si>
    <t>SKOR RMI</t>
  </si>
  <si>
    <t>Direksi BUMN induk menindaklanjuti arahan atau nasihat Dewan Komisaris/Dewan Pengawas dalam rangka penyempurnaan Kebijakan Tata Kelola Terintegrasi</t>
  </si>
  <si>
    <t>1
2
3</t>
  </si>
  <si>
    <t>Dokumentasi notulen rapat  atau laporan hasil pengkajian risko terhadap rencana strategis perusahaan yang dilakakukan oleh fungsi strategis dan fungsi risiko.</t>
  </si>
  <si>
    <t>Kapabilitas Risiko</t>
  </si>
  <si>
    <t>Pelaporan Risiko</t>
  </si>
  <si>
    <t>Cuplikan dokumen kebijakan mananjemen risiko atau kebijakan yang lainnya yang memuat pernyataan bahwa pelaporan risiko dilakukan untuk memenuhi persyaratan pelaporan finansial atau pelaporan yang bersifat legal/kepatuhan. 
Cuplikan dokumen laporan pelaksanaan proses manajemen risiko  yang memuat pernyataan bahwa pelaporan risiko dilakukan untuk memenuhi persyaratan pelaporan finansial atau pelaporan yang bersifat legal/kepatuhan.</t>
  </si>
  <si>
    <t xml:space="preserve">Dokumen surat dari perusahaan tentang penggunaan sistem penunjang untuk pelaksanaan dan penanaman program budaya risiko perusahaan seperti penggunaan intranet yang dapat diakses mengenai program budaya risiko dan kebijakan risiko perusahaan oleh seluruh pegawai (screen shoot dari tampilan intranet yang digunakan).
Dokumen yang menunjukkan adanya dash board untuk memantau metrik yang berkaitan dengan budaya risiko/program budaya risiko. </t>
  </si>
  <si>
    <t>PENGISIAN SCORE RMI</t>
  </si>
  <si>
    <t>Dokumen yang harus ada</t>
  </si>
  <si>
    <t>Screen shoot Dokumen</t>
  </si>
  <si>
    <t>Nila Score Kriteria</t>
  </si>
  <si>
    <t>Nilai Score Parameter</t>
  </si>
  <si>
    <t>PADA SHEET "REVIU DOKUMEN"</t>
  </si>
  <si>
    <r>
      <t xml:space="preserve">Pada kolom </t>
    </r>
    <r>
      <rPr>
        <b/>
        <sz val="12"/>
        <color theme="1"/>
        <rFont val="Calibri"/>
        <family val="2"/>
        <scheme val="minor"/>
      </rPr>
      <t>dokumen yang harus disiapkan</t>
    </r>
    <r>
      <rPr>
        <sz val="12"/>
        <color theme="1"/>
        <rFont val="Calibri"/>
        <family val="2"/>
        <scheme val="minor"/>
      </rPr>
      <t>, di situ adalah keterangan dokumen apa yang harus ada. Ini hanya sebuah bantuan untuk memudahkan dokumen yang harus disiapkan. Untuk nama nama dokumennya bisa dilihat pada juknis.</t>
    </r>
  </si>
  <si>
    <r>
      <t xml:space="preserve">Pada kolom </t>
    </r>
    <r>
      <rPr>
        <b/>
        <sz val="12"/>
        <color theme="1"/>
        <rFont val="Calibri"/>
        <family val="2"/>
        <scheme val="minor"/>
      </rPr>
      <t>reviu dokumen</t>
    </r>
    <r>
      <rPr>
        <sz val="12"/>
        <color theme="1"/>
        <rFont val="Calibri"/>
        <family val="2"/>
        <scheme val="minor"/>
      </rPr>
      <t xml:space="preserve"> diisikan hasil dari evaluasi antara dokumen yang sudah  terkumpul dengan kriterianya.</t>
    </r>
  </si>
  <si>
    <r>
      <t xml:space="preserve">Pada kolom </t>
    </r>
    <r>
      <rPr>
        <b/>
        <sz val="12"/>
        <color theme="1"/>
        <rFont val="Calibri"/>
        <family val="2"/>
        <scheme val="minor"/>
      </rPr>
      <t>screenshoot dokumen</t>
    </r>
    <r>
      <rPr>
        <sz val="12"/>
        <color theme="1"/>
        <rFont val="Calibri"/>
        <family val="2"/>
        <scheme val="minor"/>
      </rPr>
      <t>, screen shoot nya bisa dikecilkan sehingga dapat dimuat di situ. Nanti dalam laporan jika punya format berbeda dapat dibesarkan lagi. Ini hanya untuk mempermudah untuk melihat semuanya dalam satu sheet.</t>
    </r>
  </si>
  <si>
    <r>
      <t xml:space="preserve">Pada kolom </t>
    </r>
    <r>
      <rPr>
        <b/>
        <sz val="12"/>
        <color theme="1"/>
        <rFont val="Calibri"/>
        <family val="2"/>
        <scheme val="minor"/>
      </rPr>
      <t>score parameter</t>
    </r>
    <r>
      <rPr>
        <sz val="12"/>
        <color theme="1"/>
        <rFont val="Calibri"/>
        <family val="2"/>
        <scheme val="minor"/>
      </rPr>
      <t xml:space="preserve"> diisikan nilai dari parameter yang diambil dari nilai kriteria terkecil dari nilai kriteria yang ada di parameter tersebut.</t>
    </r>
  </si>
  <si>
    <t>Kriteria dalam pengujian ini adalah untuk RMI Umum, untuk bank dan asuransi dapat dibuat sendiri, mungkin dengan mengikuti pola yang ada pada kriteria umum ini. Untuk rumus-rumus formulanya bisa disesuai kriteria bank dan asuransi.</t>
  </si>
  <si>
    <t>SHEET SCORE RMI:</t>
  </si>
  <si>
    <r>
      <t xml:space="preserve">Pada sheet Score RMI yang diisi adalah  </t>
    </r>
    <r>
      <rPr>
        <b/>
        <sz val="12"/>
        <color theme="1"/>
        <rFont val="Calibri"/>
        <family val="2"/>
        <scheme val="minor"/>
      </rPr>
      <t>kolom Nilai aspek, Nilai Konversi, serta Penyesuaian Score</t>
    </r>
    <r>
      <rPr>
        <sz val="12"/>
        <color theme="1"/>
        <rFont val="Calibri"/>
        <family val="2"/>
        <scheme val="minor"/>
      </rPr>
      <t>. Penyesuaian score diambil dari tabel yang sudah ditentukan. Pada contoh nilai 77.5 nilai penyesuaiannya adalah 0.5.</t>
    </r>
  </si>
  <si>
    <t>Pada score Nilai aspek, Peringkat Komposit adalah 3 karena nilai Kinerjuanya baik namun nilai KPMR nya Marginal sehingga score nya adalah 3 dan nilai konversinya adalah 55.</t>
  </si>
  <si>
    <t>Sehingga Nilai SKOR RMI akhirnya adalah 3.1 - 0.5 = 2.6</t>
  </si>
  <si>
    <t>Jika score aspek dimensinya kurang dari 3, maka nilai aspek kinerja tidak dihitung, jadi nilai RMI nya hanya nilai aspek dimensinya saja.</t>
  </si>
  <si>
    <t>BUMN</t>
  </si>
  <si>
    <r>
      <t>Pada "</t>
    </r>
    <r>
      <rPr>
        <b/>
        <sz val="11"/>
        <color theme="1"/>
        <rFont val="Calibri"/>
        <family val="2"/>
        <scheme val="minor"/>
      </rPr>
      <t>SHEET SCORE DIMENSI</t>
    </r>
    <r>
      <rPr>
        <sz val="11"/>
        <color theme="1"/>
        <rFont val="Calibri"/>
        <family val="2"/>
        <scheme val="minor"/>
      </rPr>
      <t>" , tidak usah mengisi apa-apa karena sudah terisi otomatis berdasarkan isian pada sheet Reviu Dokumen (gambar di atas hanya cuplikan perhitungan score aspek dimensi)</t>
    </r>
  </si>
  <si>
    <r>
      <t xml:space="preserve">Pada kolom </t>
    </r>
    <r>
      <rPr>
        <b/>
        <sz val="12"/>
        <color theme="1"/>
        <rFont val="Calibri"/>
        <family val="2"/>
        <scheme val="minor"/>
      </rPr>
      <t>score kriteria</t>
    </r>
    <r>
      <rPr>
        <sz val="12"/>
        <color theme="1"/>
        <rFont val="Calibri"/>
        <family val="2"/>
        <scheme val="minor"/>
      </rPr>
      <t xml:space="preserve"> diisikan score dari setiap krteria sesuai dengan ketentuan.</t>
    </r>
  </si>
  <si>
    <t>Peran manajemen risiko dalam penyusunan rencana strategis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</si>
</sst>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b/>
      <sz val="14"/>
      <color theme="1"/>
      <name val="Calibri"/>
      <family val="2"/>
      <scheme val="minor"/>
    </font>
    <font>
      <b/>
      <sz val="12"/>
      <color theme="1"/>
      <name val="Calibri"/>
      <family val="2"/>
      <scheme val="minor"/>
    </font>
    <font>
      <b/>
      <sz val="11"/>
      <color theme="1"/>
      <name val="Calibri"/>
      <family val="2"/>
      <scheme val="minor"/>
    </font>
    <font>
      <sz val="12"/>
      <color theme="1"/>
      <name val="Calibri"/>
      <family val="2"/>
      <scheme val="minor"/>
    </font>
    <font>
      <sz val="14"/>
      <color theme="1"/>
      <name val="Calibri"/>
      <family val="2"/>
      <scheme val="minor"/>
    </font>
    <font>
      <sz val="12"/>
      <color theme="1"/>
      <name val="Roboto"/>
    </font>
    <font>
      <sz val="12"/>
      <color theme="1"/>
      <name val="Arial"/>
      <family val="2"/>
    </font>
    <font>
      <sz val="12"/>
      <color theme="1"/>
      <name val="Neue Haas Grotesk Text Pro"/>
      <family val="2"/>
    </font>
    <font>
      <b/>
      <sz val="12"/>
      <color theme="5" tint="-0.499984740745262"/>
      <name val="Arial"/>
      <family val="2"/>
    </font>
    <font>
      <b/>
      <sz val="12"/>
      <color rgb="FF000000"/>
      <name val="Roboto"/>
    </font>
    <font>
      <b/>
      <sz val="48"/>
      <color theme="3"/>
      <name val="Arial"/>
      <family val="2"/>
    </font>
  </fonts>
  <fills count="10">
    <fill>
      <patternFill patternType="none"/>
    </fill>
    <fill>
      <patternFill patternType="gray125"/>
    </fill>
    <fill>
      <patternFill patternType="solid">
        <fgColor theme="5"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5"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120">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top"/>
    </xf>
    <xf numFmtId="0" fontId="0" fillId="0" borderId="0" xfId="0" applyAlignment="1">
      <alignment vertical="top"/>
    </xf>
    <xf numFmtId="0" fontId="0" fillId="0" borderId="1" xfId="0" applyBorder="1" applyAlignment="1">
      <alignment vertical="top" wrapText="1"/>
    </xf>
    <xf numFmtId="0" fontId="0" fillId="0" borderId="1" xfId="0" applyBorder="1" applyAlignment="1">
      <alignment horizontal="center" vertical="top" wrapText="1"/>
    </xf>
    <xf numFmtId="0" fontId="0" fillId="0" borderId="0" xfId="0" applyAlignment="1">
      <alignment horizontal="center"/>
    </xf>
    <xf numFmtId="0" fontId="0" fillId="0" borderId="1" xfId="0" applyBorder="1" applyAlignment="1">
      <alignment horizontal="left" vertical="top" wrapText="1"/>
    </xf>
    <xf numFmtId="0" fontId="1" fillId="2" borderId="1" xfId="0" applyFont="1" applyFill="1" applyBorder="1" applyAlignment="1">
      <alignment horizontal="center" vertical="center" wrapText="1"/>
    </xf>
    <xf numFmtId="1" fontId="0" fillId="3" borderId="1" xfId="0" applyNumberFormat="1" applyFill="1" applyBorder="1" applyAlignment="1">
      <alignment horizontal="center" vertical="center" wrapText="1"/>
    </xf>
    <xf numFmtId="1" fontId="0" fillId="0" borderId="3" xfId="0" applyNumberFormat="1" applyBorder="1" applyAlignment="1">
      <alignment horizontal="center" vertical="center" wrapText="1"/>
    </xf>
    <xf numFmtId="1" fontId="0" fillId="0" borderId="4" xfId="0" applyNumberFormat="1" applyBorder="1" applyAlignment="1">
      <alignment horizontal="center" vertical="center" wrapText="1"/>
    </xf>
    <xf numFmtId="1" fontId="0" fillId="4" borderId="3" xfId="0" applyNumberFormat="1" applyFill="1" applyBorder="1" applyAlignment="1">
      <alignment horizontal="center" vertical="center" wrapText="1"/>
    </xf>
    <xf numFmtId="1" fontId="0" fillId="4" borderId="4" xfId="0" applyNumberFormat="1" applyFill="1" applyBorder="1" applyAlignment="1">
      <alignment horizontal="center" vertical="center" wrapText="1"/>
    </xf>
    <xf numFmtId="0" fontId="0" fillId="0" borderId="0" xfId="0" applyAlignment="1">
      <alignment horizontal="center" vertical="center"/>
    </xf>
    <xf numFmtId="0" fontId="3" fillId="5" borderId="1" xfId="0" applyFont="1" applyFill="1" applyBorder="1" applyAlignment="1">
      <alignment horizontal="center" vertical="center" wrapText="1"/>
    </xf>
    <xf numFmtId="0" fontId="0" fillId="0" borderId="1" xfId="0" applyBorder="1" applyAlignment="1">
      <alignment horizontal="left" vertical="top"/>
    </xf>
    <xf numFmtId="1" fontId="0" fillId="0" borderId="1" xfId="0" applyNumberFormat="1" applyBorder="1" applyAlignment="1">
      <alignment horizontal="center" vertical="top"/>
    </xf>
    <xf numFmtId="164" fontId="3" fillId="0" borderId="2" xfId="0" applyNumberFormat="1" applyFont="1" applyBorder="1" applyAlignment="1">
      <alignment horizontal="center" vertical="top"/>
    </xf>
    <xf numFmtId="164" fontId="3" fillId="0" borderId="3" xfId="0" applyNumberFormat="1" applyFont="1" applyBorder="1" applyAlignment="1">
      <alignment horizontal="center" vertical="top"/>
    </xf>
    <xf numFmtId="164" fontId="3" fillId="0" borderId="4" xfId="0" applyNumberFormat="1" applyFont="1" applyBorder="1" applyAlignment="1">
      <alignment horizontal="center" vertical="top"/>
    </xf>
    <xf numFmtId="164" fontId="1" fillId="3" borderId="6" xfId="0" applyNumberFormat="1" applyFont="1" applyFill="1" applyBorder="1" applyAlignment="1">
      <alignment horizontal="center" vertical="center"/>
    </xf>
    <xf numFmtId="0" fontId="0" fillId="0" borderId="0" xfId="0" applyAlignment="1">
      <alignment horizontal="center" vertical="top"/>
    </xf>
    <xf numFmtId="0" fontId="0" fillId="0" borderId="0" xfId="0" applyAlignment="1">
      <alignment horizontal="center" vertical="top" wrapText="1"/>
    </xf>
    <xf numFmtId="0" fontId="2" fillId="7" borderId="1" xfId="0" applyFont="1" applyFill="1" applyBorder="1" applyAlignment="1">
      <alignment horizontal="center" vertical="center"/>
    </xf>
    <xf numFmtId="0" fontId="4" fillId="0" borderId="1" xfId="0" applyFont="1" applyBorder="1" applyAlignment="1">
      <alignment horizontal="center"/>
    </xf>
    <xf numFmtId="0" fontId="4" fillId="0" borderId="1" xfId="0" applyFont="1" applyBorder="1"/>
    <xf numFmtId="164" fontId="4" fillId="0" borderId="1" xfId="0" applyNumberFormat="1" applyFont="1" applyBorder="1" applyAlignment="1">
      <alignment horizontal="center" vertical="center"/>
    </xf>
    <xf numFmtId="0" fontId="5" fillId="6" borderId="1" xfId="0" applyFont="1" applyFill="1" applyBorder="1" applyAlignment="1">
      <alignment horizontal="center" vertical="center"/>
    </xf>
    <xf numFmtId="164" fontId="1" fillId="8" borderId="1" xfId="0" applyNumberFormat="1" applyFont="1" applyFill="1" applyBorder="1" applyAlignment="1">
      <alignment horizontal="center" vertical="center"/>
    </xf>
    <xf numFmtId="0" fontId="4" fillId="7" borderId="1" xfId="0" applyFont="1" applyFill="1" applyBorder="1" applyAlignment="1">
      <alignment horizontal="center" vertical="center" wrapText="1"/>
    </xf>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9" borderId="1" xfId="0" applyFont="1" applyFill="1" applyBorder="1" applyAlignment="1">
      <alignment horizontal="center" vertical="center"/>
    </xf>
    <xf numFmtId="9"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4" fillId="9" borderId="1" xfId="0" applyFont="1" applyFill="1" applyBorder="1" applyAlignment="1">
      <alignment horizontal="center" vertical="center" wrapText="1"/>
    </xf>
    <xf numFmtId="9"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164" fontId="1" fillId="8" borderId="1" xfId="0" applyNumberFormat="1" applyFont="1" applyFill="1" applyBorder="1" applyAlignment="1">
      <alignment horizontal="center" vertical="center" wrapText="1"/>
    </xf>
    <xf numFmtId="164" fontId="0" fillId="0" borderId="0" xfId="0" applyNumberFormat="1"/>
    <xf numFmtId="0" fontId="0" fillId="4" borderId="1" xfId="0" applyFill="1" applyBorder="1" applyAlignment="1">
      <alignment vertical="top" wrapText="1"/>
    </xf>
    <xf numFmtId="0" fontId="0" fillId="9" borderId="1" xfId="0" applyFill="1" applyBorder="1" applyAlignment="1">
      <alignment horizontal="center" vertical="center" wrapText="1"/>
    </xf>
    <xf numFmtId="0" fontId="6" fillId="0" borderId="0" xfId="0" applyFont="1" applyAlignment="1">
      <alignment horizontal="justify" vertical="center"/>
    </xf>
    <xf numFmtId="0" fontId="1" fillId="0" borderId="0" xfId="0" applyFont="1" applyAlignment="1">
      <alignment horizontal="justify" vertical="center"/>
    </xf>
    <xf numFmtId="0" fontId="8" fillId="0" borderId="0" xfId="0" applyFont="1" applyAlignment="1">
      <alignment horizontal="justify" vertical="center"/>
    </xf>
    <xf numFmtId="0" fontId="7" fillId="0" borderId="0" xfId="0" applyFont="1" applyAlignment="1">
      <alignment horizontal="justify" vertical="center"/>
    </xf>
    <xf numFmtId="0" fontId="9" fillId="0" borderId="0" xfId="0" applyFont="1"/>
    <xf numFmtId="0" fontId="10" fillId="0" borderId="0" xfId="0" applyFont="1" applyAlignment="1">
      <alignment horizontal="left" vertical="center" readingOrder="1"/>
    </xf>
    <xf numFmtId="0" fontId="3" fillId="0" borderId="0" xfId="0" applyFont="1" applyAlignment="1">
      <alignment wrapText="1"/>
    </xf>
    <xf numFmtId="0" fontId="2" fillId="0" borderId="0" xfId="0" applyFont="1" applyAlignment="1">
      <alignment horizontal="center" vertical="center"/>
    </xf>
    <xf numFmtId="0" fontId="2" fillId="0" borderId="0" xfId="0" applyFont="1" applyAlignment="1">
      <alignment horizontal="center" wrapText="1"/>
    </xf>
    <xf numFmtId="0" fontId="4" fillId="0" borderId="0" xfId="0" applyFont="1" applyAlignment="1">
      <alignment horizontal="left" vertical="top" wrapText="1"/>
    </xf>
    <xf numFmtId="0" fontId="4" fillId="0" borderId="0" xfId="0" applyFont="1"/>
    <xf numFmtId="0" fontId="4" fillId="0" borderId="0" xfId="0" applyFont="1" applyAlignment="1">
      <alignment horizontal="left" vertical="center"/>
    </xf>
    <xf numFmtId="0" fontId="3" fillId="0" borderId="0" xfId="0" applyFont="1"/>
    <xf numFmtId="0" fontId="1" fillId="0" borderId="0" xfId="0" applyFont="1"/>
    <xf numFmtId="0" fontId="1" fillId="9" borderId="0" xfId="0" applyFont="1" applyFill="1" applyAlignment="1">
      <alignment vertical="center"/>
    </xf>
    <xf numFmtId="0" fontId="5" fillId="9" borderId="0" xfId="0" applyFont="1" applyFill="1" applyAlignment="1">
      <alignment vertical="center"/>
    </xf>
    <xf numFmtId="0" fontId="0" fillId="9" borderId="0" xfId="0" applyFill="1"/>
    <xf numFmtId="0" fontId="11" fillId="0" borderId="0" xfId="0" applyFont="1"/>
    <xf numFmtId="0" fontId="2" fillId="0" borderId="2" xfId="0" applyFont="1" applyBorder="1" applyAlignment="1">
      <alignment horizontal="center" vertical="top"/>
    </xf>
    <xf numFmtId="0" fontId="2" fillId="0" borderId="3" xfId="0" applyFont="1" applyBorder="1" applyAlignment="1">
      <alignment horizontal="center" vertical="top"/>
    </xf>
    <xf numFmtId="0" fontId="2" fillId="0" borderId="4" xfId="0" applyFont="1" applyBorder="1" applyAlignment="1">
      <alignment horizontal="center" vertical="top"/>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0" borderId="4" xfId="0" applyFont="1" applyBorder="1" applyAlignment="1">
      <alignment horizontal="left" vertical="top" wrapText="1"/>
    </xf>
    <xf numFmtId="0" fontId="1" fillId="0" borderId="2" xfId="0" applyFont="1" applyBorder="1" applyAlignment="1">
      <alignment horizontal="center" vertical="top"/>
    </xf>
    <xf numFmtId="0" fontId="1" fillId="0" borderId="3" xfId="0" applyFont="1" applyBorder="1" applyAlignment="1">
      <alignment horizontal="center" vertical="top"/>
    </xf>
    <xf numFmtId="0" fontId="1" fillId="0" borderId="4" xfId="0" applyFont="1" applyBorder="1" applyAlignment="1">
      <alignment horizontal="center" vertical="top"/>
    </xf>
    <xf numFmtId="0" fontId="1" fillId="2" borderId="1" xfId="0" applyFont="1" applyFill="1" applyBorder="1" applyAlignment="1">
      <alignment horizontal="center" vertical="center"/>
    </xf>
    <xf numFmtId="0" fontId="1" fillId="0" borderId="2" xfId="0" applyFont="1" applyBorder="1" applyAlignment="1">
      <alignment horizontal="left" vertical="top"/>
    </xf>
    <xf numFmtId="0" fontId="1" fillId="0" borderId="3" xfId="0" applyFont="1" applyBorder="1" applyAlignment="1">
      <alignment horizontal="left" vertical="top"/>
    </xf>
    <xf numFmtId="0" fontId="1" fillId="0" borderId="4" xfId="0" applyFont="1" applyBorder="1" applyAlignment="1">
      <alignment horizontal="left" vertical="top"/>
    </xf>
    <xf numFmtId="0" fontId="3" fillId="5" borderId="5" xfId="0" applyFont="1" applyFill="1" applyBorder="1" applyAlignment="1">
      <alignment horizontal="center" vertical="center"/>
    </xf>
    <xf numFmtId="0" fontId="3" fillId="5" borderId="6" xfId="0" applyFont="1" applyFill="1" applyBorder="1" applyAlignment="1">
      <alignment horizontal="center" vertical="center"/>
    </xf>
    <xf numFmtId="0" fontId="0" fillId="0" borderId="2" xfId="0" applyBorder="1" applyAlignment="1">
      <alignment horizontal="center" vertical="top"/>
    </xf>
    <xf numFmtId="0" fontId="0" fillId="0" borderId="3" xfId="0" applyBorder="1" applyAlignment="1">
      <alignment horizontal="center" vertical="top"/>
    </xf>
    <xf numFmtId="0" fontId="0" fillId="0" borderId="4" xfId="0" applyBorder="1" applyAlignment="1">
      <alignment horizontal="center" vertical="top"/>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2" xfId="0" applyBorder="1" applyAlignment="1">
      <alignment horizontal="left" vertical="top"/>
    </xf>
    <xf numFmtId="0" fontId="0" fillId="0" borderId="4" xfId="0" applyBorder="1" applyAlignment="1">
      <alignment horizontal="left" vertical="top"/>
    </xf>
    <xf numFmtId="0" fontId="0" fillId="0" borderId="1" xfId="0" applyBorder="1" applyAlignment="1">
      <alignment horizontal="center" vertical="top"/>
    </xf>
    <xf numFmtId="0" fontId="0" fillId="0" borderId="1" xfId="0" applyBorder="1" applyAlignment="1">
      <alignment horizontal="left" vertical="top" wrapText="1"/>
    </xf>
    <xf numFmtId="0" fontId="0" fillId="0" borderId="3" xfId="0" applyBorder="1" applyAlignment="1">
      <alignment horizontal="left" vertical="top"/>
    </xf>
    <xf numFmtId="0" fontId="0" fillId="5" borderId="5" xfId="0" applyFill="1" applyBorder="1" applyAlignment="1">
      <alignment horizontal="center" vertical="top"/>
    </xf>
    <xf numFmtId="0" fontId="0" fillId="5" borderId="7" xfId="0" applyFill="1" applyBorder="1" applyAlignment="1">
      <alignment horizontal="center" vertical="top"/>
    </xf>
    <xf numFmtId="0" fontId="0" fillId="5" borderId="6" xfId="0" applyFill="1" applyBorder="1" applyAlignment="1">
      <alignment horizontal="center" vertical="top"/>
    </xf>
    <xf numFmtId="0" fontId="1" fillId="6" borderId="1" xfId="0" applyFont="1" applyFill="1" applyBorder="1" applyAlignment="1">
      <alignment horizontal="center" vertical="center"/>
    </xf>
    <xf numFmtId="0" fontId="6" fillId="0" borderId="0" xfId="0" applyFont="1" applyAlignment="1">
      <alignment horizontal="left" vertical="center" wrapText="1"/>
    </xf>
    <xf numFmtId="0" fontId="4" fillId="0" borderId="5" xfId="0" applyFont="1" applyBorder="1" applyAlignment="1">
      <alignment horizontal="center" vertical="center" wrapText="1"/>
    </xf>
    <xf numFmtId="0" fontId="4" fillId="0" borderId="7" xfId="0" applyFont="1" applyBorder="1" applyAlignment="1">
      <alignment horizontal="center" vertical="center" wrapText="1"/>
    </xf>
    <xf numFmtId="0" fontId="4" fillId="0" borderId="6" xfId="0" applyFont="1" applyBorder="1" applyAlignment="1">
      <alignment horizontal="center" vertical="center" wrapText="1"/>
    </xf>
    <xf numFmtId="0" fontId="1" fillId="6" borderId="5" xfId="0" applyFont="1" applyFill="1" applyBorder="1" applyAlignment="1">
      <alignment horizontal="center" vertical="center" wrapText="1"/>
    </xf>
    <xf numFmtId="0" fontId="1" fillId="6" borderId="7" xfId="0" applyFont="1" applyFill="1" applyBorder="1" applyAlignment="1">
      <alignment horizontal="center" vertical="center" wrapText="1"/>
    </xf>
    <xf numFmtId="0" fontId="1" fillId="6" borderId="6" xfId="0" applyFont="1" applyFill="1" applyBorder="1" applyAlignment="1">
      <alignment horizontal="center" vertical="center" wrapText="1"/>
    </xf>
    <xf numFmtId="0" fontId="1" fillId="0" borderId="8" xfId="0" applyFont="1" applyBorder="1" applyAlignment="1">
      <alignment horizontal="center" vertic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1" fillId="6" borderId="5" xfId="0" applyFont="1" applyFill="1" applyBorder="1" applyAlignment="1">
      <alignment horizontal="left" vertical="center"/>
    </xf>
    <xf numFmtId="0" fontId="1" fillId="6" borderId="7" xfId="0" applyFont="1" applyFill="1" applyBorder="1" applyAlignment="1">
      <alignment horizontal="left" vertical="center"/>
    </xf>
    <xf numFmtId="0" fontId="1" fillId="6" borderId="6" xfId="0" applyFont="1" applyFill="1" applyBorder="1" applyAlignment="1">
      <alignment horizontal="lef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4"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horizontal="left" vertical="top" wrapText="1"/>
    </xf>
    <xf numFmtId="0" fontId="3" fillId="0" borderId="0" xfId="0" applyFont="1" applyAlignment="1">
      <alignment horizontal="left" vertical="center"/>
    </xf>
    <xf numFmtId="0" fontId="4"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419100</xdr:colOff>
      <xdr:row>3</xdr:row>
      <xdr:rowOff>4406</xdr:rowOff>
    </xdr:from>
    <xdr:to>
      <xdr:col>12</xdr:col>
      <xdr:colOff>28575</xdr:colOff>
      <xdr:row>30</xdr:row>
      <xdr:rowOff>102268</xdr:rowOff>
    </xdr:to>
    <xdr:pic>
      <xdr:nvPicPr>
        <xdr:cNvPr id="2" name="Picture 1">
          <a:extLst>
            <a:ext uri="{FF2B5EF4-FFF2-40B4-BE49-F238E27FC236}">
              <a16:creationId xmlns:a16="http://schemas.microsoft.com/office/drawing/2014/main" id="{570E2D9A-575A-48F1-8086-F9559454B997}"/>
            </a:ext>
          </a:extLst>
        </xdr:cNvPr>
        <xdr:cNvPicPr>
          <a:picLocks noChangeAspect="1"/>
        </xdr:cNvPicPr>
      </xdr:nvPicPr>
      <xdr:blipFill>
        <a:blip xmlns:r="http://schemas.openxmlformats.org/officeDocument/2006/relationships" r:embed="rId1"/>
        <a:stretch>
          <a:fillRect/>
        </a:stretch>
      </xdr:blipFill>
      <xdr:spPr>
        <a:xfrm>
          <a:off x="419100" y="575906"/>
          <a:ext cx="9839325" cy="5241362"/>
        </a:xfrm>
        <a:prstGeom prst="rect">
          <a:avLst/>
        </a:prstGeom>
      </xdr:spPr>
    </xdr:pic>
    <xdr:clientData/>
  </xdr:twoCellAnchor>
  <xdr:twoCellAnchor editAs="oneCell">
    <xdr:from>
      <xdr:col>12</xdr:col>
      <xdr:colOff>381000</xdr:colOff>
      <xdr:row>5</xdr:row>
      <xdr:rowOff>76200</xdr:rowOff>
    </xdr:from>
    <xdr:to>
      <xdr:col>19</xdr:col>
      <xdr:colOff>477021</xdr:colOff>
      <xdr:row>26</xdr:row>
      <xdr:rowOff>10074</xdr:rowOff>
    </xdr:to>
    <xdr:pic>
      <xdr:nvPicPr>
        <xdr:cNvPr id="3" name="Picture 2">
          <a:extLst>
            <a:ext uri="{FF2B5EF4-FFF2-40B4-BE49-F238E27FC236}">
              <a16:creationId xmlns:a16="http://schemas.microsoft.com/office/drawing/2014/main" id="{B2C6BA60-7D82-49CE-8B54-0066553FCAB0}"/>
            </a:ext>
          </a:extLst>
        </xdr:cNvPr>
        <xdr:cNvPicPr>
          <a:picLocks noChangeAspect="1"/>
        </xdr:cNvPicPr>
      </xdr:nvPicPr>
      <xdr:blipFill>
        <a:blip xmlns:r="http://schemas.openxmlformats.org/officeDocument/2006/relationships" r:embed="rId2"/>
        <a:stretch>
          <a:fillRect/>
        </a:stretch>
      </xdr:blipFill>
      <xdr:spPr>
        <a:xfrm>
          <a:off x="10610850" y="1028700"/>
          <a:ext cx="5525271" cy="3934374"/>
        </a:xfrm>
        <a:prstGeom prst="rect">
          <a:avLst/>
        </a:prstGeom>
      </xdr:spPr>
    </xdr:pic>
    <xdr:clientData/>
  </xdr:twoCellAnchor>
  <xdr:twoCellAnchor>
    <xdr:from>
      <xdr:col>7</xdr:col>
      <xdr:colOff>333374</xdr:colOff>
      <xdr:row>2</xdr:row>
      <xdr:rowOff>47626</xdr:rowOff>
    </xdr:from>
    <xdr:to>
      <xdr:col>10</xdr:col>
      <xdr:colOff>66674</xdr:colOff>
      <xdr:row>4</xdr:row>
      <xdr:rowOff>142876</xdr:rowOff>
    </xdr:to>
    <xdr:sp macro="" textlink="">
      <xdr:nvSpPr>
        <xdr:cNvPr id="4" name="Rectangle 3">
          <a:extLst>
            <a:ext uri="{FF2B5EF4-FFF2-40B4-BE49-F238E27FC236}">
              <a16:creationId xmlns:a16="http://schemas.microsoft.com/office/drawing/2014/main" id="{8B8A64A7-0286-421F-BDBF-2AC6D2801272}"/>
            </a:ext>
          </a:extLst>
        </xdr:cNvPr>
        <xdr:cNvSpPr/>
      </xdr:nvSpPr>
      <xdr:spPr>
        <a:xfrm>
          <a:off x="6838949" y="428626"/>
          <a:ext cx="2124075" cy="4762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PADA ILUSTRASI INI PERINGKAT KOMPOSIT = 2</a:t>
          </a:r>
        </a:p>
      </xdr:txBody>
    </xdr:sp>
    <xdr:clientData/>
  </xdr:twoCellAnchor>
  <xdr:twoCellAnchor>
    <xdr:from>
      <xdr:col>8</xdr:col>
      <xdr:colOff>257175</xdr:colOff>
      <xdr:row>4</xdr:row>
      <xdr:rowOff>142876</xdr:rowOff>
    </xdr:from>
    <xdr:to>
      <xdr:col>8</xdr:col>
      <xdr:colOff>785812</xdr:colOff>
      <xdr:row>10</xdr:row>
      <xdr:rowOff>28575</xdr:rowOff>
    </xdr:to>
    <xdr:cxnSp macro="">
      <xdr:nvCxnSpPr>
        <xdr:cNvPr id="5" name="Straight Arrow Connector 4">
          <a:extLst>
            <a:ext uri="{FF2B5EF4-FFF2-40B4-BE49-F238E27FC236}">
              <a16:creationId xmlns:a16="http://schemas.microsoft.com/office/drawing/2014/main" id="{DF824D4A-1B2D-4F2C-931C-C64762EEE221}"/>
            </a:ext>
          </a:extLst>
        </xdr:cNvPr>
        <xdr:cNvCxnSpPr>
          <a:stCxn id="4" idx="2"/>
        </xdr:cNvCxnSpPr>
      </xdr:nvCxnSpPr>
      <xdr:spPr>
        <a:xfrm flipH="1">
          <a:off x="7372350" y="904876"/>
          <a:ext cx="528637" cy="1028699"/>
        </a:xfrm>
        <a:prstGeom prst="straightConnector1">
          <a:avLst/>
        </a:prstGeom>
        <a:ln w="12700">
          <a:solidFill>
            <a:srgbClr val="FF0000"/>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390525</xdr:colOff>
      <xdr:row>6</xdr:row>
      <xdr:rowOff>104775</xdr:rowOff>
    </xdr:from>
    <xdr:to>
      <xdr:col>8</xdr:col>
      <xdr:colOff>762000</xdr:colOff>
      <xdr:row>8</xdr:row>
      <xdr:rowOff>85725</xdr:rowOff>
    </xdr:to>
    <xdr:sp macro="" textlink="">
      <xdr:nvSpPr>
        <xdr:cNvPr id="2" name="Arrow: Down 1">
          <a:extLst>
            <a:ext uri="{FF2B5EF4-FFF2-40B4-BE49-F238E27FC236}">
              <a16:creationId xmlns:a16="http://schemas.microsoft.com/office/drawing/2014/main" id="{3B0A8B81-3258-4393-A512-01B6205556DA}"/>
            </a:ext>
          </a:extLst>
        </xdr:cNvPr>
        <xdr:cNvSpPr/>
      </xdr:nvSpPr>
      <xdr:spPr>
        <a:xfrm>
          <a:off x="10382250" y="1457325"/>
          <a:ext cx="371475" cy="36195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9</xdr:col>
      <xdr:colOff>438150</xdr:colOff>
      <xdr:row>6</xdr:row>
      <xdr:rowOff>95250</xdr:rowOff>
    </xdr:from>
    <xdr:to>
      <xdr:col>9</xdr:col>
      <xdr:colOff>809625</xdr:colOff>
      <xdr:row>8</xdr:row>
      <xdr:rowOff>76200</xdr:rowOff>
    </xdr:to>
    <xdr:sp macro="" textlink="">
      <xdr:nvSpPr>
        <xdr:cNvPr id="3" name="Arrow: Down 2">
          <a:extLst>
            <a:ext uri="{FF2B5EF4-FFF2-40B4-BE49-F238E27FC236}">
              <a16:creationId xmlns:a16="http://schemas.microsoft.com/office/drawing/2014/main" id="{D0BC8648-217A-42E6-B0F0-9B9AE8FD9C46}"/>
            </a:ext>
          </a:extLst>
        </xdr:cNvPr>
        <xdr:cNvSpPr/>
      </xdr:nvSpPr>
      <xdr:spPr>
        <a:xfrm>
          <a:off x="11506200" y="1447800"/>
          <a:ext cx="371475" cy="36195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3</xdr:col>
      <xdr:colOff>57150</xdr:colOff>
      <xdr:row>44</xdr:row>
      <xdr:rowOff>19050</xdr:rowOff>
    </xdr:from>
    <xdr:to>
      <xdr:col>3</xdr:col>
      <xdr:colOff>295275</xdr:colOff>
      <xdr:row>45</xdr:row>
      <xdr:rowOff>161925</xdr:rowOff>
    </xdr:to>
    <xdr:sp macro="" textlink="">
      <xdr:nvSpPr>
        <xdr:cNvPr id="4" name="Arrow: Down 3">
          <a:extLst>
            <a:ext uri="{FF2B5EF4-FFF2-40B4-BE49-F238E27FC236}">
              <a16:creationId xmlns:a16="http://schemas.microsoft.com/office/drawing/2014/main" id="{83858A35-9C18-4DEB-8AE1-114BE5D0451A}"/>
            </a:ext>
          </a:extLst>
        </xdr:cNvPr>
        <xdr:cNvSpPr/>
      </xdr:nvSpPr>
      <xdr:spPr>
        <a:xfrm>
          <a:off x="3181350" y="13563600"/>
          <a:ext cx="238125" cy="33337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4</xdr:col>
      <xdr:colOff>266700</xdr:colOff>
      <xdr:row>44</xdr:row>
      <xdr:rowOff>9525</xdr:rowOff>
    </xdr:from>
    <xdr:to>
      <xdr:col>4</xdr:col>
      <xdr:colOff>504825</xdr:colOff>
      <xdr:row>45</xdr:row>
      <xdr:rowOff>152400</xdr:rowOff>
    </xdr:to>
    <xdr:sp macro="" textlink="">
      <xdr:nvSpPr>
        <xdr:cNvPr id="5" name="Arrow: Down 4">
          <a:extLst>
            <a:ext uri="{FF2B5EF4-FFF2-40B4-BE49-F238E27FC236}">
              <a16:creationId xmlns:a16="http://schemas.microsoft.com/office/drawing/2014/main" id="{E1852D7F-AF0C-48B0-AD07-ACD6497CF994}"/>
            </a:ext>
          </a:extLst>
        </xdr:cNvPr>
        <xdr:cNvSpPr/>
      </xdr:nvSpPr>
      <xdr:spPr>
        <a:xfrm>
          <a:off x="3848100" y="13554075"/>
          <a:ext cx="238125" cy="33337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4</xdr:col>
      <xdr:colOff>981075</xdr:colOff>
      <xdr:row>6</xdr:row>
      <xdr:rowOff>104775</xdr:rowOff>
    </xdr:from>
    <xdr:to>
      <xdr:col>4</xdr:col>
      <xdr:colOff>1352550</xdr:colOff>
      <xdr:row>8</xdr:row>
      <xdr:rowOff>85725</xdr:rowOff>
    </xdr:to>
    <xdr:sp macro="" textlink="">
      <xdr:nvSpPr>
        <xdr:cNvPr id="7" name="Arrow: Down 6">
          <a:extLst>
            <a:ext uri="{FF2B5EF4-FFF2-40B4-BE49-F238E27FC236}">
              <a16:creationId xmlns:a16="http://schemas.microsoft.com/office/drawing/2014/main" id="{D523AAFC-6927-4707-ACAA-53100FA13A2E}"/>
            </a:ext>
          </a:extLst>
        </xdr:cNvPr>
        <xdr:cNvSpPr/>
      </xdr:nvSpPr>
      <xdr:spPr>
        <a:xfrm>
          <a:off x="4562475" y="1457325"/>
          <a:ext cx="371475" cy="36195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7</xdr:col>
      <xdr:colOff>885825</xdr:colOff>
      <xdr:row>6</xdr:row>
      <xdr:rowOff>76200</xdr:rowOff>
    </xdr:from>
    <xdr:to>
      <xdr:col>7</xdr:col>
      <xdr:colOff>1257300</xdr:colOff>
      <xdr:row>8</xdr:row>
      <xdr:rowOff>57150</xdr:rowOff>
    </xdr:to>
    <xdr:sp macro="" textlink="">
      <xdr:nvSpPr>
        <xdr:cNvPr id="8" name="Arrow: Down 7">
          <a:extLst>
            <a:ext uri="{FF2B5EF4-FFF2-40B4-BE49-F238E27FC236}">
              <a16:creationId xmlns:a16="http://schemas.microsoft.com/office/drawing/2014/main" id="{F284E315-91F2-4900-B10B-49B813462FA2}"/>
            </a:ext>
          </a:extLst>
        </xdr:cNvPr>
        <xdr:cNvSpPr/>
      </xdr:nvSpPr>
      <xdr:spPr>
        <a:xfrm>
          <a:off x="8610600" y="1428750"/>
          <a:ext cx="371475" cy="36195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0</xdr:colOff>
      <xdr:row>68</xdr:row>
      <xdr:rowOff>0</xdr:rowOff>
    </xdr:from>
    <xdr:to>
      <xdr:col>2</xdr:col>
      <xdr:colOff>1000125</xdr:colOff>
      <xdr:row>82</xdr:row>
      <xdr:rowOff>19050</xdr:rowOff>
    </xdr:to>
    <xdr:pic>
      <xdr:nvPicPr>
        <xdr:cNvPr id="9" name="Picture 1">
          <a:extLst>
            <a:ext uri="{FF2B5EF4-FFF2-40B4-BE49-F238E27FC236}">
              <a16:creationId xmlns:a16="http://schemas.microsoft.com/office/drawing/2014/main" id="{6D98AEEE-60D4-4955-97D2-A2DBB0974B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0497800"/>
          <a:ext cx="1609725" cy="268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1162050</xdr:colOff>
      <xdr:row>76</xdr:row>
      <xdr:rowOff>0</xdr:rowOff>
    </xdr:from>
    <xdr:ext cx="2506968" cy="1172629"/>
    <xdr:sp macro="" textlink="">
      <xdr:nvSpPr>
        <xdr:cNvPr id="10" name="Text Box 2">
          <a:extLst>
            <a:ext uri="{FF2B5EF4-FFF2-40B4-BE49-F238E27FC236}">
              <a16:creationId xmlns:a16="http://schemas.microsoft.com/office/drawing/2014/main" id="{D3EA2340-3EC0-49A7-AA19-4AF171F057A5}"/>
            </a:ext>
          </a:extLst>
        </xdr:cNvPr>
        <xdr:cNvSpPr txBox="1">
          <a:spLocks noChangeArrowheads="1"/>
        </xdr:cNvSpPr>
      </xdr:nvSpPr>
      <xdr:spPr bwMode="auto">
        <a:xfrm>
          <a:off x="2381250" y="22021800"/>
          <a:ext cx="2506968" cy="1172629"/>
        </a:xfrm>
        <a:prstGeom prst="rect">
          <a:avLst/>
        </a:prstGeom>
        <a:solidFill>
          <a:srgbClr val="FFFFFF"/>
        </a:solidFill>
        <a:ln w="9525">
          <a:solidFill>
            <a:srgbClr val="000000"/>
          </a:solidFill>
          <a:miter lim="800000"/>
          <a:headEnd/>
          <a:tailEnd/>
        </a:ln>
      </xdr:spPr>
      <xdr:txBody>
        <a:bodyPr wrap="none" lIns="91440" tIns="45720" rIns="91440" bIns="45720" anchor="t" upright="1">
          <a:spAutoFit/>
        </a:bodyPr>
        <a:lstStyle/>
        <a:p>
          <a:pPr algn="l" rtl="0">
            <a:defRPr sz="1000"/>
          </a:pPr>
          <a:r>
            <a:rPr lang="en-US" sz="1400" b="1" i="0" u="none" strike="noStrike" baseline="0">
              <a:solidFill>
                <a:srgbClr val="000000"/>
              </a:solidFill>
              <a:latin typeface="Calibri"/>
              <a:ea typeface="Calibri"/>
              <a:cs typeface="Calibri"/>
            </a:rPr>
            <a:t>Andy Toviana</a:t>
          </a:r>
          <a:endParaRPr lang="en-US" sz="1100" b="0" i="0" u="none" strike="noStrike" baseline="0">
            <a:solidFill>
              <a:srgbClr val="000000"/>
            </a:solidFill>
            <a:latin typeface="Calibri"/>
            <a:ea typeface="Calibri"/>
            <a:cs typeface="Calibri"/>
          </a:endParaRPr>
        </a:p>
        <a:p>
          <a:pPr algn="l" rtl="0">
            <a:defRPr sz="1000"/>
          </a:pPr>
          <a:r>
            <a:rPr lang="en-US" sz="1100" b="0" i="0" u="none" strike="noStrike" baseline="0">
              <a:solidFill>
                <a:srgbClr val="000000"/>
              </a:solidFill>
              <a:latin typeface="Calibri"/>
              <a:ea typeface="Calibri"/>
              <a:cs typeface="Calibri"/>
            </a:rPr>
            <a:t>Pensiunan Auditor PT GMF AeroAsia Tbk</a:t>
          </a:r>
        </a:p>
        <a:p>
          <a:pPr algn="l" rtl="0">
            <a:defRPr sz="1000"/>
          </a:pPr>
          <a:endParaRPr lang="en-US" sz="1100" b="0" i="0" u="none" strike="noStrike" baseline="0">
            <a:solidFill>
              <a:srgbClr val="000000"/>
            </a:solidFill>
            <a:latin typeface="Calibri"/>
            <a:ea typeface="Calibri"/>
            <a:cs typeface="Calibri"/>
          </a:endParaRPr>
        </a:p>
        <a:p>
          <a:pPr algn="l" rtl="0">
            <a:defRPr sz="1000"/>
          </a:pPr>
          <a:r>
            <a:rPr lang="en-US" sz="1100" b="0" i="0" u="none" strike="noStrike" baseline="0">
              <a:solidFill>
                <a:srgbClr val="000000"/>
              </a:solidFill>
              <a:latin typeface="Calibri"/>
              <a:ea typeface="Calibri"/>
              <a:cs typeface="Calibri"/>
            </a:rPr>
            <a:t>Email:</a:t>
          </a:r>
        </a:p>
        <a:p>
          <a:pPr algn="l" rtl="0">
            <a:defRPr sz="1000"/>
          </a:pPr>
          <a:r>
            <a:rPr lang="en-US" sz="1100" b="0" i="0" u="none" strike="noStrike" baseline="0">
              <a:solidFill>
                <a:srgbClr val="000000"/>
              </a:solidFill>
              <a:latin typeface="Calibri"/>
              <a:ea typeface="Calibri"/>
              <a:cs typeface="Calibri"/>
            </a:rPr>
            <a:t>tovianaandy@gmail.com</a:t>
          </a:r>
        </a:p>
        <a:p>
          <a:pPr algn="l" rtl="0">
            <a:defRPr sz="1000"/>
          </a:pPr>
          <a:r>
            <a:rPr lang="en-US" sz="1100" b="0" i="0" u="none" strike="noStrike" baseline="0">
              <a:solidFill>
                <a:srgbClr val="000000"/>
              </a:solidFill>
              <a:latin typeface="Calibri"/>
              <a:ea typeface="Calibri"/>
              <a:cs typeface="Calibri"/>
            </a:rPr>
            <a:t> </a:t>
          </a:r>
        </a:p>
      </xdr:txBody>
    </xdr:sp>
    <xdr:clientData/>
  </xdr:oneCellAnchor>
  <xdr:twoCellAnchor editAs="oneCell">
    <xdr:from>
      <xdr:col>0</xdr:col>
      <xdr:colOff>600075</xdr:colOff>
      <xdr:row>9</xdr:row>
      <xdr:rowOff>38100</xdr:rowOff>
    </xdr:from>
    <xdr:to>
      <xdr:col>9</xdr:col>
      <xdr:colOff>1258962</xdr:colOff>
      <xdr:row>19</xdr:row>
      <xdr:rowOff>573</xdr:rowOff>
    </xdr:to>
    <xdr:pic>
      <xdr:nvPicPr>
        <xdr:cNvPr id="14" name="Picture 13">
          <a:extLst>
            <a:ext uri="{FF2B5EF4-FFF2-40B4-BE49-F238E27FC236}">
              <a16:creationId xmlns:a16="http://schemas.microsoft.com/office/drawing/2014/main" id="{5FCC2931-D700-20CA-65E8-352878EE355A}"/>
            </a:ext>
          </a:extLst>
        </xdr:cNvPr>
        <xdr:cNvPicPr>
          <a:picLocks noChangeAspect="1"/>
        </xdr:cNvPicPr>
      </xdr:nvPicPr>
      <xdr:blipFill>
        <a:blip xmlns:r="http://schemas.openxmlformats.org/officeDocument/2006/relationships" r:embed="rId2"/>
        <a:stretch>
          <a:fillRect/>
        </a:stretch>
      </xdr:blipFill>
      <xdr:spPr>
        <a:xfrm>
          <a:off x="600075" y="1962150"/>
          <a:ext cx="11907912" cy="4105848"/>
        </a:xfrm>
        <a:prstGeom prst="rect">
          <a:avLst/>
        </a:prstGeom>
      </xdr:spPr>
    </xdr:pic>
    <xdr:clientData/>
  </xdr:twoCellAnchor>
  <xdr:twoCellAnchor editAs="oneCell">
    <xdr:from>
      <xdr:col>0</xdr:col>
      <xdr:colOff>600075</xdr:colOff>
      <xdr:row>27</xdr:row>
      <xdr:rowOff>9525</xdr:rowOff>
    </xdr:from>
    <xdr:to>
      <xdr:col>7</xdr:col>
      <xdr:colOff>1010811</xdr:colOff>
      <xdr:row>41</xdr:row>
      <xdr:rowOff>48106</xdr:rowOff>
    </xdr:to>
    <xdr:pic>
      <xdr:nvPicPr>
        <xdr:cNvPr id="16" name="Picture 15">
          <a:extLst>
            <a:ext uri="{FF2B5EF4-FFF2-40B4-BE49-F238E27FC236}">
              <a16:creationId xmlns:a16="http://schemas.microsoft.com/office/drawing/2014/main" id="{4559D47E-6C44-B924-3F60-389E0485DD06}"/>
            </a:ext>
          </a:extLst>
        </xdr:cNvPr>
        <xdr:cNvPicPr>
          <a:picLocks noChangeAspect="1"/>
        </xdr:cNvPicPr>
      </xdr:nvPicPr>
      <xdr:blipFill>
        <a:blip xmlns:r="http://schemas.openxmlformats.org/officeDocument/2006/relationships" r:embed="rId3"/>
        <a:stretch>
          <a:fillRect/>
        </a:stretch>
      </xdr:blipFill>
      <xdr:spPr>
        <a:xfrm>
          <a:off x="600075" y="9267825"/>
          <a:ext cx="8316486" cy="3448531"/>
        </a:xfrm>
        <a:prstGeom prst="rect">
          <a:avLst/>
        </a:prstGeom>
      </xdr:spPr>
    </xdr:pic>
    <xdr:clientData/>
  </xdr:twoCellAnchor>
  <xdr:twoCellAnchor editAs="oneCell">
    <xdr:from>
      <xdr:col>1</xdr:col>
      <xdr:colOff>447675</xdr:colOff>
      <xdr:row>46</xdr:row>
      <xdr:rowOff>57150</xdr:rowOff>
    </xdr:from>
    <xdr:to>
      <xdr:col>6</xdr:col>
      <xdr:colOff>48392</xdr:colOff>
      <xdr:row>53</xdr:row>
      <xdr:rowOff>171837</xdr:rowOff>
    </xdr:to>
    <xdr:pic>
      <xdr:nvPicPr>
        <xdr:cNvPr id="17" name="Picture 16">
          <a:extLst>
            <a:ext uri="{FF2B5EF4-FFF2-40B4-BE49-F238E27FC236}">
              <a16:creationId xmlns:a16="http://schemas.microsoft.com/office/drawing/2014/main" id="{60B697D8-62EA-58F6-BFD4-761A43AEB3A2}"/>
            </a:ext>
          </a:extLst>
        </xdr:cNvPr>
        <xdr:cNvPicPr>
          <a:picLocks noChangeAspect="1"/>
        </xdr:cNvPicPr>
      </xdr:nvPicPr>
      <xdr:blipFill>
        <a:blip xmlns:r="http://schemas.openxmlformats.org/officeDocument/2006/relationships" r:embed="rId4"/>
        <a:stretch>
          <a:fillRect/>
        </a:stretch>
      </xdr:blipFill>
      <xdr:spPr>
        <a:xfrm>
          <a:off x="1057275" y="13982700"/>
          <a:ext cx="5496692" cy="2772162"/>
        </a:xfrm>
        <a:prstGeom prst="rect">
          <a:avLst/>
        </a:prstGeom>
      </xdr:spPr>
    </xdr:pic>
    <xdr:clientData/>
  </xdr:twoCellAnchor>
  <xdr:twoCellAnchor>
    <xdr:from>
      <xdr:col>6</xdr:col>
      <xdr:colOff>114300</xdr:colOff>
      <xdr:row>51</xdr:row>
      <xdr:rowOff>57150</xdr:rowOff>
    </xdr:from>
    <xdr:to>
      <xdr:col>6</xdr:col>
      <xdr:colOff>571500</xdr:colOff>
      <xdr:row>51</xdr:row>
      <xdr:rowOff>295275</xdr:rowOff>
    </xdr:to>
    <xdr:sp macro="" textlink="">
      <xdr:nvSpPr>
        <xdr:cNvPr id="18" name="Arrow: Left 17">
          <a:extLst>
            <a:ext uri="{FF2B5EF4-FFF2-40B4-BE49-F238E27FC236}">
              <a16:creationId xmlns:a16="http://schemas.microsoft.com/office/drawing/2014/main" id="{49C3B8F3-0C82-48D4-A0DB-BAED091B02AE}"/>
            </a:ext>
          </a:extLst>
        </xdr:cNvPr>
        <xdr:cNvSpPr/>
      </xdr:nvSpPr>
      <xdr:spPr>
        <a:xfrm>
          <a:off x="6619875" y="16030575"/>
          <a:ext cx="457200" cy="238125"/>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41DE1-A71D-4874-81DA-A1EB2252D773}">
  <dimension ref="C11:H20"/>
  <sheetViews>
    <sheetView showGridLines="0" tabSelected="1" workbookViewId="0"/>
  </sheetViews>
  <sheetFormatPr defaultRowHeight="15" x14ac:dyDescent="0.25"/>
  <cols>
    <col min="8" max="8" width="29.28515625" customWidth="1"/>
  </cols>
  <sheetData>
    <row r="11" spans="3:8" ht="60" x14ac:dyDescent="0.8">
      <c r="C11" s="60" t="s">
        <v>745</v>
      </c>
    </row>
    <row r="12" spans="3:8" ht="48.75" customHeight="1" x14ac:dyDescent="0.8">
      <c r="C12" s="60" t="s">
        <v>761</v>
      </c>
    </row>
    <row r="16" spans="3:8" ht="15.75" x14ac:dyDescent="0.25">
      <c r="H16" s="47"/>
    </row>
    <row r="18" spans="8:8" x14ac:dyDescent="0.25">
      <c r="H18" s="49"/>
    </row>
    <row r="19" spans="8:8" ht="15.75" x14ac:dyDescent="0.25">
      <c r="H19" s="48"/>
    </row>
    <row r="20" spans="8:8" ht="15.75" x14ac:dyDescent="0.25">
      <c r="H20" s="4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ED268-1A40-4C50-A14F-B89818BD7BFF}">
  <dimension ref="A2:N284"/>
  <sheetViews>
    <sheetView showGridLines="0" topLeftCell="A2" workbookViewId="0">
      <pane ySplit="1320" topLeftCell="A3" activePane="bottomLeft"/>
      <selection activeCell="N2" sqref="N2"/>
      <selection pane="bottomLeft" activeCell="I4" sqref="I4"/>
    </sheetView>
  </sheetViews>
  <sheetFormatPr defaultRowHeight="15" x14ac:dyDescent="0.25"/>
  <cols>
    <col min="1" max="1" width="3.140625" customWidth="1"/>
    <col min="2" max="2" width="5.5703125" customWidth="1"/>
    <col min="3" max="3" width="20" customWidth="1"/>
    <col min="4" max="4" width="6" customWidth="1"/>
    <col min="5" max="5" width="27.28515625" customWidth="1"/>
    <col min="6" max="6" width="4.28515625" customWidth="1"/>
    <col min="7" max="7" width="41.7109375" customWidth="1"/>
    <col min="8" max="8" width="4.5703125" style="6" customWidth="1"/>
    <col min="9" max="9" width="39.140625" customWidth="1"/>
    <col min="10" max="10" width="5.28515625" style="6" customWidth="1"/>
    <col min="11" max="12" width="38.7109375" customWidth="1"/>
    <col min="13" max="14" width="16" style="14" customWidth="1"/>
  </cols>
  <sheetData>
    <row r="2" spans="2:14" ht="51" customHeight="1" x14ac:dyDescent="0.25">
      <c r="B2" s="78" t="s">
        <v>0</v>
      </c>
      <c r="C2" s="78"/>
      <c r="D2" s="78" t="s">
        <v>1</v>
      </c>
      <c r="E2" s="78"/>
      <c r="F2" s="78" t="s">
        <v>2</v>
      </c>
      <c r="G2" s="78"/>
      <c r="H2" s="69" t="s">
        <v>332</v>
      </c>
      <c r="I2" s="70"/>
      <c r="J2" s="69" t="s">
        <v>591</v>
      </c>
      <c r="K2" s="70"/>
      <c r="L2" s="1" t="s">
        <v>3</v>
      </c>
      <c r="M2" s="8" t="s">
        <v>621</v>
      </c>
      <c r="N2" s="8" t="s">
        <v>650</v>
      </c>
    </row>
    <row r="3" spans="2:14" ht="103.5" customHeight="1" x14ac:dyDescent="0.25">
      <c r="B3" s="75">
        <v>1</v>
      </c>
      <c r="C3" s="79" t="s">
        <v>4</v>
      </c>
      <c r="D3" s="61">
        <v>1</v>
      </c>
      <c r="E3" s="64" t="s">
        <v>18</v>
      </c>
      <c r="F3" s="2" t="s">
        <v>5</v>
      </c>
      <c r="G3" s="4" t="s">
        <v>6</v>
      </c>
      <c r="H3" s="5">
        <v>1</v>
      </c>
      <c r="I3" s="4" t="s">
        <v>586</v>
      </c>
      <c r="J3" s="5"/>
      <c r="K3" s="4"/>
      <c r="L3" s="4"/>
      <c r="M3" s="42"/>
      <c r="N3" s="9"/>
    </row>
    <row r="4" spans="2:14" ht="85.5" customHeight="1" x14ac:dyDescent="0.25">
      <c r="B4" s="76"/>
      <c r="C4" s="80"/>
      <c r="D4" s="62"/>
      <c r="E4" s="65"/>
      <c r="F4" s="2" t="s">
        <v>7</v>
      </c>
      <c r="G4" s="4" t="s">
        <v>8</v>
      </c>
      <c r="H4" s="5">
        <v>1</v>
      </c>
      <c r="I4" s="4" t="s">
        <v>325</v>
      </c>
      <c r="J4" s="5"/>
      <c r="K4" s="4"/>
      <c r="L4" s="4"/>
      <c r="M4" s="42"/>
      <c r="N4" s="10"/>
    </row>
    <row r="5" spans="2:14" ht="188.25" customHeight="1" x14ac:dyDescent="0.25">
      <c r="B5" s="76"/>
      <c r="C5" s="80"/>
      <c r="D5" s="62"/>
      <c r="E5" s="65"/>
      <c r="F5" s="2" t="s">
        <v>9</v>
      </c>
      <c r="G5" s="4" t="s">
        <v>317</v>
      </c>
      <c r="H5" s="5" t="s">
        <v>319</v>
      </c>
      <c r="I5" s="4" t="s">
        <v>587</v>
      </c>
      <c r="J5" s="5"/>
      <c r="K5" s="4"/>
      <c r="L5" s="4"/>
      <c r="M5" s="42"/>
      <c r="N5" s="10"/>
    </row>
    <row r="6" spans="2:14" ht="99" customHeight="1" x14ac:dyDescent="0.25">
      <c r="B6" s="76"/>
      <c r="C6" s="80"/>
      <c r="D6" s="62"/>
      <c r="E6" s="65"/>
      <c r="F6" s="2" t="s">
        <v>10</v>
      </c>
      <c r="G6" s="4" t="s">
        <v>32</v>
      </c>
      <c r="H6" s="5">
        <v>1</v>
      </c>
      <c r="I6" s="4" t="s">
        <v>342</v>
      </c>
      <c r="J6" s="5"/>
      <c r="K6" s="4"/>
      <c r="L6" s="4"/>
      <c r="M6" s="42"/>
      <c r="N6" s="10"/>
    </row>
    <row r="7" spans="2:14" ht="384" customHeight="1" x14ac:dyDescent="0.25">
      <c r="B7" s="76"/>
      <c r="C7" s="80"/>
      <c r="D7" s="62"/>
      <c r="E7" s="65"/>
      <c r="F7" s="2" t="s">
        <v>12</v>
      </c>
      <c r="G7" s="4" t="s">
        <v>11</v>
      </c>
      <c r="H7" s="5" t="s">
        <v>326</v>
      </c>
      <c r="I7" s="4" t="s">
        <v>366</v>
      </c>
      <c r="J7" s="5"/>
      <c r="K7" s="4"/>
      <c r="L7" s="4"/>
      <c r="M7" s="42"/>
      <c r="N7" s="10"/>
    </row>
    <row r="8" spans="2:14" ht="218.25" customHeight="1" x14ac:dyDescent="0.25">
      <c r="B8" s="76"/>
      <c r="C8" s="80"/>
      <c r="D8" s="62"/>
      <c r="E8" s="65"/>
      <c r="F8" s="2" t="s">
        <v>13</v>
      </c>
      <c r="G8" s="4" t="s">
        <v>320</v>
      </c>
      <c r="H8" s="5" t="s">
        <v>367</v>
      </c>
      <c r="I8" s="4" t="s">
        <v>744</v>
      </c>
      <c r="J8" s="5"/>
      <c r="K8" s="4"/>
      <c r="L8" s="4"/>
      <c r="M8" s="42"/>
      <c r="N8" s="10"/>
    </row>
    <row r="9" spans="2:14" ht="200.25" customHeight="1" x14ac:dyDescent="0.25">
      <c r="B9" s="77"/>
      <c r="C9" s="81"/>
      <c r="D9" s="63"/>
      <c r="E9" s="66"/>
      <c r="F9" s="2" t="s">
        <v>14</v>
      </c>
      <c r="G9" s="4" t="s">
        <v>15</v>
      </c>
      <c r="H9" s="5" t="s">
        <v>322</v>
      </c>
      <c r="I9" s="4" t="s">
        <v>323</v>
      </c>
      <c r="J9" s="5"/>
      <c r="K9" s="4"/>
      <c r="L9" s="4"/>
      <c r="M9" s="42"/>
      <c r="N9" s="11"/>
    </row>
    <row r="10" spans="2:14" ht="54.75" customHeight="1" x14ac:dyDescent="0.25">
      <c r="B10" s="75">
        <v>2</v>
      </c>
      <c r="C10" s="67" t="s">
        <v>16</v>
      </c>
      <c r="D10" s="61">
        <v>2</v>
      </c>
      <c r="E10" s="64" t="s">
        <v>17</v>
      </c>
      <c r="F10" s="2" t="s">
        <v>5</v>
      </c>
      <c r="G10" s="4" t="s">
        <v>19</v>
      </c>
      <c r="H10" s="5">
        <v>1</v>
      </c>
      <c r="I10" s="4" t="s">
        <v>324</v>
      </c>
      <c r="J10" s="5"/>
      <c r="K10" s="4"/>
      <c r="L10" s="4"/>
      <c r="M10" s="42"/>
      <c r="N10" s="9"/>
    </row>
    <row r="11" spans="2:14" ht="70.5" customHeight="1" x14ac:dyDescent="0.25">
      <c r="B11" s="76"/>
      <c r="C11" s="68"/>
      <c r="D11" s="62"/>
      <c r="E11" s="65"/>
      <c r="F11" s="2" t="s">
        <v>7</v>
      </c>
      <c r="G11" s="4" t="s">
        <v>20</v>
      </c>
      <c r="H11" s="5">
        <v>1</v>
      </c>
      <c r="I11" s="4" t="s">
        <v>368</v>
      </c>
      <c r="J11" s="5"/>
      <c r="K11" s="4"/>
      <c r="L11" s="4"/>
      <c r="M11" s="42"/>
      <c r="N11" s="10"/>
    </row>
    <row r="12" spans="2:14" ht="145.5" customHeight="1" x14ac:dyDescent="0.25">
      <c r="B12" s="76"/>
      <c r="C12" s="68"/>
      <c r="D12" s="62"/>
      <c r="E12" s="65"/>
      <c r="F12" s="2" t="s">
        <v>9</v>
      </c>
      <c r="G12" s="4" t="s">
        <v>21</v>
      </c>
      <c r="H12" s="5" t="s">
        <v>322</v>
      </c>
      <c r="I12" s="4" t="s">
        <v>369</v>
      </c>
      <c r="J12" s="5"/>
      <c r="K12" s="4"/>
      <c r="L12" s="4"/>
      <c r="M12" s="42"/>
      <c r="N12" s="10"/>
    </row>
    <row r="13" spans="2:14" ht="81" customHeight="1" x14ac:dyDescent="0.25">
      <c r="B13" s="76"/>
      <c r="C13" s="68"/>
      <c r="D13" s="62"/>
      <c r="E13" s="65"/>
      <c r="F13" s="2" t="s">
        <v>10</v>
      </c>
      <c r="G13" s="4" t="s">
        <v>22</v>
      </c>
      <c r="H13" s="5">
        <v>1</v>
      </c>
      <c r="I13" s="4" t="s">
        <v>327</v>
      </c>
      <c r="J13" s="5"/>
      <c r="K13" s="4"/>
      <c r="L13" s="4"/>
      <c r="M13" s="42"/>
      <c r="N13" s="10"/>
    </row>
    <row r="14" spans="2:14" ht="207.75" customHeight="1" x14ac:dyDescent="0.25">
      <c r="B14" s="76"/>
      <c r="C14" s="68"/>
      <c r="D14" s="62"/>
      <c r="E14" s="65"/>
      <c r="F14" s="2" t="s">
        <v>12</v>
      </c>
      <c r="G14" s="4" t="s">
        <v>23</v>
      </c>
      <c r="H14" s="5" t="s">
        <v>355</v>
      </c>
      <c r="I14" s="4" t="s">
        <v>649</v>
      </c>
      <c r="J14" s="5"/>
      <c r="K14" s="4"/>
      <c r="L14" s="4"/>
      <c r="M14" s="42"/>
      <c r="N14" s="10"/>
    </row>
    <row r="15" spans="2:14" ht="217.5" customHeight="1" x14ac:dyDescent="0.25">
      <c r="B15" s="76"/>
      <c r="C15" s="68"/>
      <c r="D15" s="62"/>
      <c r="E15" s="65"/>
      <c r="F15" s="2" t="s">
        <v>13</v>
      </c>
      <c r="G15" s="4" t="s">
        <v>24</v>
      </c>
      <c r="H15" s="5" t="s">
        <v>355</v>
      </c>
      <c r="I15" s="4" t="s">
        <v>370</v>
      </c>
      <c r="J15" s="5"/>
      <c r="K15" s="4"/>
      <c r="L15" s="4"/>
      <c r="M15" s="42"/>
      <c r="N15" s="10"/>
    </row>
    <row r="16" spans="2:14" ht="98.25" customHeight="1" x14ac:dyDescent="0.25">
      <c r="B16" s="76"/>
      <c r="C16" s="68"/>
      <c r="D16" s="63"/>
      <c r="E16" s="66"/>
      <c r="F16" s="2" t="s">
        <v>14</v>
      </c>
      <c r="G16" s="4" t="s">
        <v>31</v>
      </c>
      <c r="H16" s="5">
        <v>1</v>
      </c>
      <c r="I16" s="4" t="s">
        <v>371</v>
      </c>
      <c r="J16" s="5"/>
      <c r="K16" s="4"/>
      <c r="L16" s="4"/>
      <c r="M16" s="42"/>
      <c r="N16" s="11"/>
    </row>
    <row r="17" spans="2:14" ht="83.25" customHeight="1" x14ac:dyDescent="0.25">
      <c r="B17" s="76"/>
      <c r="C17" s="68"/>
      <c r="D17" s="61">
        <v>3</v>
      </c>
      <c r="E17" s="64" t="s">
        <v>25</v>
      </c>
      <c r="F17" s="2" t="s">
        <v>5</v>
      </c>
      <c r="G17" s="4" t="s">
        <v>30</v>
      </c>
      <c r="H17" s="5">
        <v>1</v>
      </c>
      <c r="I17" s="4" t="s">
        <v>372</v>
      </c>
      <c r="J17" s="5"/>
      <c r="K17" s="4"/>
      <c r="L17" s="4"/>
      <c r="M17" s="42"/>
      <c r="N17" s="9"/>
    </row>
    <row r="18" spans="2:14" ht="134.25" customHeight="1" x14ac:dyDescent="0.25">
      <c r="B18" s="76"/>
      <c r="C18" s="68"/>
      <c r="D18" s="62"/>
      <c r="E18" s="65"/>
      <c r="F18" s="2" t="s">
        <v>7</v>
      </c>
      <c r="G18" s="4" t="s">
        <v>29</v>
      </c>
      <c r="H18" s="5" t="s">
        <v>318</v>
      </c>
      <c r="I18" s="4" t="s">
        <v>373</v>
      </c>
      <c r="J18" s="5"/>
      <c r="K18" s="4"/>
      <c r="L18" s="4"/>
      <c r="M18" s="42"/>
      <c r="N18" s="10"/>
    </row>
    <row r="19" spans="2:14" ht="134.25" customHeight="1" x14ac:dyDescent="0.25">
      <c r="B19" s="76"/>
      <c r="C19" s="68"/>
      <c r="D19" s="62"/>
      <c r="E19" s="65"/>
      <c r="F19" s="2" t="s">
        <v>9</v>
      </c>
      <c r="G19" s="4" t="s">
        <v>33</v>
      </c>
      <c r="H19" s="5" t="s">
        <v>318</v>
      </c>
      <c r="I19" s="4" t="s">
        <v>328</v>
      </c>
      <c r="J19" s="5"/>
      <c r="K19" s="4"/>
      <c r="L19" s="4"/>
      <c r="M19" s="42"/>
      <c r="N19" s="10"/>
    </row>
    <row r="20" spans="2:14" ht="95.25" customHeight="1" x14ac:dyDescent="0.25">
      <c r="B20" s="76"/>
      <c r="C20" s="68"/>
      <c r="D20" s="62"/>
      <c r="E20" s="65"/>
      <c r="F20" s="2" t="s">
        <v>10</v>
      </c>
      <c r="G20" s="4" t="s">
        <v>28</v>
      </c>
      <c r="H20" s="5">
        <v>1</v>
      </c>
      <c r="I20" s="4" t="s">
        <v>374</v>
      </c>
      <c r="J20" s="5"/>
      <c r="K20" s="4"/>
      <c r="L20" s="4"/>
      <c r="M20" s="42"/>
      <c r="N20" s="10"/>
    </row>
    <row r="21" spans="2:14" ht="114" customHeight="1" x14ac:dyDescent="0.25">
      <c r="B21" s="76"/>
      <c r="C21" s="68"/>
      <c r="D21" s="62"/>
      <c r="E21" s="65"/>
      <c r="F21" s="2" t="s">
        <v>12</v>
      </c>
      <c r="G21" s="4" t="s">
        <v>27</v>
      </c>
      <c r="H21" s="5">
        <v>1</v>
      </c>
      <c r="I21" s="4" t="s">
        <v>375</v>
      </c>
      <c r="J21" s="5"/>
      <c r="K21" s="4"/>
      <c r="L21" s="4"/>
      <c r="M21" s="42"/>
      <c r="N21" s="10"/>
    </row>
    <row r="22" spans="2:14" ht="67.5" customHeight="1" x14ac:dyDescent="0.25">
      <c r="B22" s="76"/>
      <c r="C22" s="68"/>
      <c r="D22" s="62"/>
      <c r="E22" s="65"/>
      <c r="F22" s="2" t="s">
        <v>13</v>
      </c>
      <c r="G22" s="4" t="s">
        <v>26</v>
      </c>
      <c r="H22" s="5">
        <v>1</v>
      </c>
      <c r="I22" s="4" t="s">
        <v>376</v>
      </c>
      <c r="J22" s="5"/>
      <c r="K22" s="4"/>
      <c r="L22" s="4"/>
      <c r="M22" s="42"/>
      <c r="N22" s="10"/>
    </row>
    <row r="23" spans="2:14" ht="127.5" customHeight="1" x14ac:dyDescent="0.25">
      <c r="B23" s="76"/>
      <c r="C23" s="68"/>
      <c r="D23" s="62"/>
      <c r="E23" s="65"/>
      <c r="F23" s="2" t="s">
        <v>14</v>
      </c>
      <c r="G23" s="4" t="s">
        <v>34</v>
      </c>
      <c r="H23" s="5">
        <v>1</v>
      </c>
      <c r="I23" s="4" t="s">
        <v>329</v>
      </c>
      <c r="J23" s="5"/>
      <c r="K23" s="4"/>
      <c r="L23" s="4"/>
      <c r="M23" s="42"/>
      <c r="N23" s="10"/>
    </row>
    <row r="24" spans="2:14" ht="124.5" customHeight="1" x14ac:dyDescent="0.25">
      <c r="B24" s="76"/>
      <c r="C24" s="68"/>
      <c r="D24" s="62"/>
      <c r="E24" s="65"/>
      <c r="F24" s="2" t="s">
        <v>35</v>
      </c>
      <c r="G24" s="4" t="s">
        <v>38</v>
      </c>
      <c r="H24" s="5">
        <v>1</v>
      </c>
      <c r="I24" s="4" t="s">
        <v>331</v>
      </c>
      <c r="J24" s="5"/>
      <c r="K24" s="4"/>
      <c r="L24" s="4"/>
      <c r="M24" s="42"/>
      <c r="N24" s="10"/>
    </row>
    <row r="25" spans="2:14" ht="111.75" customHeight="1" x14ac:dyDescent="0.25">
      <c r="B25" s="76"/>
      <c r="C25" s="68"/>
      <c r="D25" s="62"/>
      <c r="E25" s="65"/>
      <c r="F25" s="2" t="s">
        <v>36</v>
      </c>
      <c r="G25" s="4" t="s">
        <v>37</v>
      </c>
      <c r="H25" s="5">
        <v>1</v>
      </c>
      <c r="I25" s="4" t="s">
        <v>377</v>
      </c>
      <c r="J25" s="5"/>
      <c r="K25" s="4"/>
      <c r="L25" s="4"/>
      <c r="M25" s="42"/>
      <c r="N25" s="10"/>
    </row>
    <row r="26" spans="2:14" ht="178.5" customHeight="1" x14ac:dyDescent="0.25">
      <c r="B26" s="76"/>
      <c r="C26" s="68"/>
      <c r="D26" s="62"/>
      <c r="E26" s="65"/>
      <c r="F26" s="2" t="s">
        <v>39</v>
      </c>
      <c r="G26" s="4" t="s">
        <v>40</v>
      </c>
      <c r="H26" s="5" t="s">
        <v>318</v>
      </c>
      <c r="I26" s="4" t="s">
        <v>344</v>
      </c>
      <c r="J26" s="5"/>
      <c r="K26" s="4"/>
      <c r="L26" s="4"/>
      <c r="M26" s="42"/>
      <c r="N26" s="10"/>
    </row>
    <row r="27" spans="2:14" ht="234.75" customHeight="1" x14ac:dyDescent="0.25">
      <c r="B27" s="77"/>
      <c r="C27" s="74"/>
      <c r="D27" s="63"/>
      <c r="E27" s="66"/>
      <c r="F27" s="2" t="s">
        <v>41</v>
      </c>
      <c r="G27" s="4" t="s">
        <v>330</v>
      </c>
      <c r="H27" s="5" t="s">
        <v>378</v>
      </c>
      <c r="I27" s="4" t="s">
        <v>345</v>
      </c>
      <c r="J27" s="5"/>
      <c r="K27" s="4"/>
      <c r="L27" s="4"/>
      <c r="M27" s="42"/>
      <c r="N27" s="11"/>
    </row>
    <row r="28" spans="2:14" ht="69" customHeight="1" x14ac:dyDescent="0.25">
      <c r="B28" s="75">
        <v>3</v>
      </c>
      <c r="C28" s="67" t="s">
        <v>42</v>
      </c>
      <c r="D28" s="61">
        <v>4</v>
      </c>
      <c r="E28" s="64" t="s">
        <v>43</v>
      </c>
      <c r="F28" s="2" t="s">
        <v>5</v>
      </c>
      <c r="G28" s="4" t="s">
        <v>44</v>
      </c>
      <c r="H28" s="5">
        <v>1</v>
      </c>
      <c r="I28" s="4" t="s">
        <v>333</v>
      </c>
      <c r="J28" s="5"/>
      <c r="K28" s="4"/>
      <c r="L28" s="4"/>
      <c r="M28" s="42"/>
      <c r="N28" s="9"/>
    </row>
    <row r="29" spans="2:14" ht="126.75" customHeight="1" x14ac:dyDescent="0.25">
      <c r="B29" s="76"/>
      <c r="C29" s="68"/>
      <c r="D29" s="62"/>
      <c r="E29" s="65"/>
      <c r="F29" s="2" t="s">
        <v>7</v>
      </c>
      <c r="G29" s="4" t="s">
        <v>45</v>
      </c>
      <c r="H29" s="5">
        <v>1</v>
      </c>
      <c r="I29" s="4" t="s">
        <v>335</v>
      </c>
      <c r="J29" s="5"/>
      <c r="K29" s="4"/>
      <c r="L29" s="4"/>
      <c r="M29" s="42"/>
      <c r="N29" s="10"/>
    </row>
    <row r="30" spans="2:14" ht="132.75" customHeight="1" x14ac:dyDescent="0.25">
      <c r="B30" s="76"/>
      <c r="C30" s="68"/>
      <c r="D30" s="62"/>
      <c r="E30" s="65"/>
      <c r="F30" s="2" t="s">
        <v>9</v>
      </c>
      <c r="G30" s="4" t="s">
        <v>334</v>
      </c>
      <c r="H30" s="5">
        <v>1</v>
      </c>
      <c r="I30" s="4" t="s">
        <v>336</v>
      </c>
      <c r="J30" s="5"/>
      <c r="K30" s="4"/>
      <c r="L30" s="4"/>
      <c r="M30" s="42"/>
      <c r="N30" s="10"/>
    </row>
    <row r="31" spans="2:14" ht="173.25" customHeight="1" x14ac:dyDescent="0.25">
      <c r="B31" s="76"/>
      <c r="C31" s="68"/>
      <c r="D31" s="62"/>
      <c r="E31" s="65"/>
      <c r="F31" s="2" t="s">
        <v>10</v>
      </c>
      <c r="G31" s="4" t="s">
        <v>46</v>
      </c>
      <c r="H31" s="5">
        <v>1</v>
      </c>
      <c r="I31" s="4" t="s">
        <v>337</v>
      </c>
      <c r="J31" s="5"/>
      <c r="K31" s="4"/>
      <c r="L31" s="4"/>
      <c r="M31" s="42"/>
      <c r="N31" s="10"/>
    </row>
    <row r="32" spans="2:14" ht="115.5" customHeight="1" x14ac:dyDescent="0.25">
      <c r="B32" s="76"/>
      <c r="C32" s="68"/>
      <c r="D32" s="62"/>
      <c r="E32" s="65"/>
      <c r="F32" s="2" t="s">
        <v>12</v>
      </c>
      <c r="G32" s="4" t="s">
        <v>47</v>
      </c>
      <c r="H32" s="5">
        <v>1</v>
      </c>
      <c r="I32" s="4" t="s">
        <v>340</v>
      </c>
      <c r="J32" s="5"/>
      <c r="K32" s="4"/>
      <c r="L32" s="4"/>
      <c r="M32" s="42"/>
      <c r="N32" s="10"/>
    </row>
    <row r="33" spans="2:14" ht="113.25" customHeight="1" x14ac:dyDescent="0.25">
      <c r="B33" s="76"/>
      <c r="C33" s="68"/>
      <c r="D33" s="62"/>
      <c r="E33" s="65"/>
      <c r="F33" s="2" t="s">
        <v>13</v>
      </c>
      <c r="G33" s="4" t="s">
        <v>48</v>
      </c>
      <c r="H33" s="5">
        <v>1</v>
      </c>
      <c r="I33" s="4" t="s">
        <v>338</v>
      </c>
      <c r="J33" s="5"/>
      <c r="K33" s="4"/>
      <c r="L33" s="4"/>
      <c r="M33" s="42"/>
      <c r="N33" s="10"/>
    </row>
    <row r="34" spans="2:14" ht="101.25" customHeight="1" x14ac:dyDescent="0.25">
      <c r="B34" s="76"/>
      <c r="C34" s="68"/>
      <c r="D34" s="62"/>
      <c r="E34" s="65"/>
      <c r="F34" s="2" t="s">
        <v>14</v>
      </c>
      <c r="G34" s="4" t="s">
        <v>49</v>
      </c>
      <c r="H34" s="5">
        <v>1</v>
      </c>
      <c r="I34" s="4" t="s">
        <v>341</v>
      </c>
      <c r="J34" s="5"/>
      <c r="K34" s="4"/>
      <c r="L34" s="4"/>
      <c r="M34" s="42"/>
      <c r="N34" s="10"/>
    </row>
    <row r="35" spans="2:14" ht="116.25" customHeight="1" x14ac:dyDescent="0.25">
      <c r="B35" s="76"/>
      <c r="C35" s="68"/>
      <c r="D35" s="62"/>
      <c r="E35" s="65"/>
      <c r="F35" s="2" t="s">
        <v>35</v>
      </c>
      <c r="G35" s="4" t="s">
        <v>50</v>
      </c>
      <c r="H35" s="5">
        <v>1</v>
      </c>
      <c r="I35" s="4" t="s">
        <v>339</v>
      </c>
      <c r="J35" s="5"/>
      <c r="K35" s="4"/>
      <c r="L35" s="4"/>
      <c r="M35" s="42"/>
      <c r="N35" s="10"/>
    </row>
    <row r="36" spans="2:14" ht="180" customHeight="1" x14ac:dyDescent="0.25">
      <c r="B36" s="76"/>
      <c r="C36" s="68"/>
      <c r="D36" s="63"/>
      <c r="E36" s="66"/>
      <c r="F36" s="2" t="s">
        <v>36</v>
      </c>
      <c r="G36" s="4" t="s">
        <v>51</v>
      </c>
      <c r="H36" s="5" t="s">
        <v>355</v>
      </c>
      <c r="I36" s="4" t="s">
        <v>592</v>
      </c>
      <c r="J36" s="5"/>
      <c r="K36" s="4"/>
      <c r="L36" s="4"/>
      <c r="M36" s="42"/>
      <c r="N36" s="11"/>
    </row>
    <row r="37" spans="2:14" ht="116.25" customHeight="1" x14ac:dyDescent="0.25">
      <c r="B37" s="76"/>
      <c r="C37" s="68"/>
      <c r="D37" s="61">
        <v>5</v>
      </c>
      <c r="E37" s="64" t="s">
        <v>52</v>
      </c>
      <c r="F37" s="2" t="s">
        <v>5</v>
      </c>
      <c r="G37" s="4" t="s">
        <v>53</v>
      </c>
      <c r="H37" s="5">
        <v>1</v>
      </c>
      <c r="I37" s="4" t="s">
        <v>346</v>
      </c>
      <c r="J37" s="5"/>
      <c r="K37" s="4"/>
      <c r="L37" s="4"/>
      <c r="M37" s="42"/>
      <c r="N37" s="9"/>
    </row>
    <row r="38" spans="2:14" ht="57" customHeight="1" x14ac:dyDescent="0.25">
      <c r="B38" s="76"/>
      <c r="C38" s="68"/>
      <c r="D38" s="62"/>
      <c r="E38" s="65"/>
      <c r="F38" s="2" t="s">
        <v>7</v>
      </c>
      <c r="G38" s="4" t="s">
        <v>54</v>
      </c>
      <c r="H38" s="5">
        <v>1</v>
      </c>
      <c r="I38" s="4" t="s">
        <v>347</v>
      </c>
      <c r="J38" s="5"/>
      <c r="K38" s="4"/>
      <c r="L38" s="4"/>
      <c r="M38" s="42"/>
      <c r="N38" s="10"/>
    </row>
    <row r="39" spans="2:14" ht="142.5" customHeight="1" x14ac:dyDescent="0.25">
      <c r="B39" s="76"/>
      <c r="C39" s="68"/>
      <c r="D39" s="62"/>
      <c r="E39" s="65"/>
      <c r="F39" s="2" t="s">
        <v>9</v>
      </c>
      <c r="G39" s="4" t="s">
        <v>55</v>
      </c>
      <c r="H39" s="5" t="s">
        <v>319</v>
      </c>
      <c r="I39" s="4" t="s">
        <v>348</v>
      </c>
      <c r="J39" s="5"/>
      <c r="K39" s="4"/>
      <c r="L39" s="4"/>
      <c r="M39" s="42"/>
      <c r="N39" s="10"/>
    </row>
    <row r="40" spans="2:14" ht="187.5" customHeight="1" x14ac:dyDescent="0.25">
      <c r="B40" s="76"/>
      <c r="C40" s="68"/>
      <c r="D40" s="62"/>
      <c r="E40" s="65"/>
      <c r="F40" s="2" t="s">
        <v>10</v>
      </c>
      <c r="G40" s="4" t="s">
        <v>56</v>
      </c>
      <c r="H40" s="5">
        <v>1</v>
      </c>
      <c r="I40" s="4" t="s">
        <v>349</v>
      </c>
      <c r="J40" s="5"/>
      <c r="K40" s="4"/>
      <c r="L40" s="4"/>
      <c r="M40" s="42"/>
      <c r="N40" s="10"/>
    </row>
    <row r="41" spans="2:14" ht="62.25" customHeight="1" x14ac:dyDescent="0.25">
      <c r="B41" s="76"/>
      <c r="C41" s="68"/>
      <c r="D41" s="62"/>
      <c r="E41" s="65"/>
      <c r="F41" s="2" t="s">
        <v>12</v>
      </c>
      <c r="G41" s="4" t="s">
        <v>57</v>
      </c>
      <c r="H41" s="5">
        <v>1</v>
      </c>
      <c r="I41" s="4" t="s">
        <v>379</v>
      </c>
      <c r="J41" s="5"/>
      <c r="K41" s="4"/>
      <c r="L41" s="4"/>
      <c r="M41" s="42"/>
      <c r="N41" s="10"/>
    </row>
    <row r="42" spans="2:14" ht="127.5" customHeight="1" x14ac:dyDescent="0.25">
      <c r="B42" s="77"/>
      <c r="C42" s="74"/>
      <c r="D42" s="63"/>
      <c r="E42" s="66"/>
      <c r="F42" s="2" t="s">
        <v>13</v>
      </c>
      <c r="G42" s="4" t="s">
        <v>58</v>
      </c>
      <c r="H42" s="5">
        <v>1</v>
      </c>
      <c r="I42" s="4" t="s">
        <v>380</v>
      </c>
      <c r="J42" s="5"/>
      <c r="K42" s="4"/>
      <c r="L42" s="4"/>
      <c r="M42" s="42"/>
      <c r="N42" s="11"/>
    </row>
    <row r="43" spans="2:14" ht="112.5" customHeight="1" x14ac:dyDescent="0.25">
      <c r="B43" s="75">
        <v>4</v>
      </c>
      <c r="C43" s="67" t="s">
        <v>59</v>
      </c>
      <c r="D43" s="61">
        <v>6</v>
      </c>
      <c r="E43" s="64" t="s">
        <v>60</v>
      </c>
      <c r="F43" s="2" t="s">
        <v>5</v>
      </c>
      <c r="G43" s="4" t="s">
        <v>61</v>
      </c>
      <c r="H43" s="5">
        <v>1</v>
      </c>
      <c r="I43" s="4" t="s">
        <v>381</v>
      </c>
      <c r="J43" s="5"/>
      <c r="K43" s="4"/>
      <c r="L43" s="4"/>
      <c r="M43" s="42"/>
      <c r="N43" s="9"/>
    </row>
    <row r="44" spans="2:14" ht="118.5" customHeight="1" x14ac:dyDescent="0.25">
      <c r="B44" s="76"/>
      <c r="C44" s="68"/>
      <c r="D44" s="62"/>
      <c r="E44" s="65"/>
      <c r="F44" s="2" t="s">
        <v>7</v>
      </c>
      <c r="G44" s="4" t="s">
        <v>62</v>
      </c>
      <c r="H44" s="5">
        <v>1</v>
      </c>
      <c r="I44" s="4" t="s">
        <v>382</v>
      </c>
      <c r="J44" s="5"/>
      <c r="K44" s="4"/>
      <c r="L44" s="4"/>
      <c r="M44" s="42"/>
      <c r="N44" s="10"/>
    </row>
    <row r="45" spans="2:14" ht="282.75" customHeight="1" x14ac:dyDescent="0.25">
      <c r="B45" s="76"/>
      <c r="C45" s="68"/>
      <c r="D45" s="62"/>
      <c r="E45" s="65"/>
      <c r="F45" s="2" t="s">
        <v>9</v>
      </c>
      <c r="G45" s="4" t="s">
        <v>63</v>
      </c>
      <c r="H45" s="5" t="s">
        <v>321</v>
      </c>
      <c r="I45" s="4" t="s">
        <v>350</v>
      </c>
      <c r="J45" s="5"/>
      <c r="K45" s="4"/>
      <c r="L45" s="4"/>
      <c r="M45" s="42"/>
      <c r="N45" s="10"/>
    </row>
    <row r="46" spans="2:14" ht="87.75" customHeight="1" x14ac:dyDescent="0.25">
      <c r="B46" s="76"/>
      <c r="C46" s="68"/>
      <c r="D46" s="62"/>
      <c r="E46" s="65"/>
      <c r="F46" s="2" t="s">
        <v>10</v>
      </c>
      <c r="G46" s="4" t="s">
        <v>64</v>
      </c>
      <c r="H46" s="5">
        <v>1</v>
      </c>
      <c r="I46" s="4" t="s">
        <v>351</v>
      </c>
      <c r="J46" s="5"/>
      <c r="K46" s="4"/>
      <c r="L46" s="4"/>
      <c r="M46" s="42"/>
      <c r="N46" s="10"/>
    </row>
    <row r="47" spans="2:14" ht="176.25" customHeight="1" x14ac:dyDescent="0.25">
      <c r="B47" s="76"/>
      <c r="C47" s="68"/>
      <c r="D47" s="62"/>
      <c r="E47" s="65"/>
      <c r="F47" s="2" t="s">
        <v>12</v>
      </c>
      <c r="G47" s="4" t="s">
        <v>65</v>
      </c>
      <c r="H47" s="5" t="s">
        <v>352</v>
      </c>
      <c r="I47" s="4" t="s">
        <v>353</v>
      </c>
      <c r="J47" s="5"/>
      <c r="K47" s="4"/>
      <c r="L47" s="4"/>
      <c r="M47" s="42"/>
      <c r="N47" s="10"/>
    </row>
    <row r="48" spans="2:14" ht="129.75" customHeight="1" x14ac:dyDescent="0.25">
      <c r="B48" s="76"/>
      <c r="C48" s="68"/>
      <c r="D48" s="62"/>
      <c r="E48" s="65"/>
      <c r="F48" s="2" t="s">
        <v>13</v>
      </c>
      <c r="G48" s="4" t="s">
        <v>66</v>
      </c>
      <c r="H48" s="5">
        <v>1</v>
      </c>
      <c r="I48" s="4" t="s">
        <v>383</v>
      </c>
      <c r="J48" s="5"/>
      <c r="K48" s="4"/>
      <c r="L48" s="4"/>
      <c r="M48" s="42"/>
      <c r="N48" s="10"/>
    </row>
    <row r="49" spans="2:14" ht="189" customHeight="1" x14ac:dyDescent="0.25">
      <c r="B49" s="76"/>
      <c r="C49" s="68"/>
      <c r="D49" s="63"/>
      <c r="E49" s="66"/>
      <c r="F49" s="2" t="s">
        <v>14</v>
      </c>
      <c r="G49" s="4" t="s">
        <v>67</v>
      </c>
      <c r="H49" s="5" t="s">
        <v>355</v>
      </c>
      <c r="I49" s="4" t="s">
        <v>354</v>
      </c>
      <c r="J49" s="5"/>
      <c r="K49" s="4"/>
      <c r="L49" s="4"/>
      <c r="M49" s="42"/>
      <c r="N49" s="11"/>
    </row>
    <row r="50" spans="2:14" ht="216.75" customHeight="1" x14ac:dyDescent="0.25">
      <c r="B50" s="76"/>
      <c r="C50" s="68"/>
      <c r="D50" s="61">
        <v>7</v>
      </c>
      <c r="E50" s="64" t="s">
        <v>72</v>
      </c>
      <c r="F50" s="2" t="s">
        <v>5</v>
      </c>
      <c r="G50" s="4" t="s">
        <v>68</v>
      </c>
      <c r="H50" s="5" t="s">
        <v>352</v>
      </c>
      <c r="I50" s="4" t="s">
        <v>467</v>
      </c>
      <c r="J50" s="5"/>
      <c r="K50" s="4"/>
      <c r="L50" s="4"/>
      <c r="M50" s="42"/>
      <c r="N50" s="9"/>
    </row>
    <row r="51" spans="2:14" ht="124.5" customHeight="1" x14ac:dyDescent="0.25">
      <c r="B51" s="76"/>
      <c r="C51" s="68"/>
      <c r="D51" s="62"/>
      <c r="E51" s="65"/>
      <c r="F51" s="2" t="s">
        <v>7</v>
      </c>
      <c r="G51" s="4" t="s">
        <v>69</v>
      </c>
      <c r="H51" s="5">
        <v>1</v>
      </c>
      <c r="I51" s="4" t="s">
        <v>468</v>
      </c>
      <c r="J51" s="5"/>
      <c r="K51" s="4"/>
      <c r="L51" s="4"/>
      <c r="M51" s="42"/>
      <c r="N51" s="10"/>
    </row>
    <row r="52" spans="2:14" ht="189" customHeight="1" x14ac:dyDescent="0.25">
      <c r="B52" s="76"/>
      <c r="C52" s="68"/>
      <c r="D52" s="63"/>
      <c r="E52" s="66"/>
      <c r="F52" s="2" t="s">
        <v>9</v>
      </c>
      <c r="G52" s="4" t="s">
        <v>70</v>
      </c>
      <c r="H52" s="5" t="s">
        <v>355</v>
      </c>
      <c r="I52" s="4" t="s">
        <v>356</v>
      </c>
      <c r="J52" s="5"/>
      <c r="K52" s="4"/>
      <c r="L52" s="4"/>
      <c r="M52" s="42"/>
      <c r="N52" s="11"/>
    </row>
    <row r="53" spans="2:14" ht="178.5" customHeight="1" x14ac:dyDescent="0.25">
      <c r="B53" s="76"/>
      <c r="C53" s="68"/>
      <c r="D53" s="61">
        <v>8</v>
      </c>
      <c r="E53" s="64" t="s">
        <v>71</v>
      </c>
      <c r="F53" s="2" t="s">
        <v>5</v>
      </c>
      <c r="G53" s="4" t="s">
        <v>73</v>
      </c>
      <c r="H53" s="5">
        <v>1</v>
      </c>
      <c r="I53" s="4" t="s">
        <v>361</v>
      </c>
      <c r="J53" s="5"/>
      <c r="K53" s="4"/>
      <c r="L53" s="4"/>
      <c r="M53" s="42"/>
      <c r="N53" s="9"/>
    </row>
    <row r="54" spans="2:14" ht="84.75" customHeight="1" x14ac:dyDescent="0.25">
      <c r="B54" s="76"/>
      <c r="C54" s="68"/>
      <c r="D54" s="62"/>
      <c r="E54" s="65"/>
      <c r="F54" s="2" t="s">
        <v>7</v>
      </c>
      <c r="G54" s="4" t="s">
        <v>593</v>
      </c>
      <c r="H54" s="5">
        <v>1</v>
      </c>
      <c r="I54" s="4" t="s">
        <v>594</v>
      </c>
      <c r="J54" s="5"/>
      <c r="K54" s="4"/>
      <c r="L54" s="4"/>
      <c r="M54" s="42"/>
      <c r="N54" s="10"/>
    </row>
    <row r="55" spans="2:14" ht="201" customHeight="1" x14ac:dyDescent="0.25">
      <c r="B55" s="76"/>
      <c r="C55" s="68"/>
      <c r="D55" s="62"/>
      <c r="E55" s="65"/>
      <c r="F55" s="2" t="s">
        <v>9</v>
      </c>
      <c r="G55" s="4" t="s">
        <v>357</v>
      </c>
      <c r="H55" s="5">
        <v>1</v>
      </c>
      <c r="I55" s="4" t="s">
        <v>358</v>
      </c>
      <c r="J55" s="5"/>
      <c r="K55" s="4"/>
      <c r="L55" s="4"/>
      <c r="M55" s="42"/>
      <c r="N55" s="10"/>
    </row>
    <row r="56" spans="2:14" ht="85.5" customHeight="1" x14ac:dyDescent="0.25">
      <c r="B56" s="76"/>
      <c r="C56" s="68"/>
      <c r="D56" s="62"/>
      <c r="E56" s="65"/>
      <c r="F56" s="2" t="s">
        <v>10</v>
      </c>
      <c r="G56" s="4" t="s">
        <v>74</v>
      </c>
      <c r="H56" s="5">
        <v>1</v>
      </c>
      <c r="I56" s="4" t="s">
        <v>384</v>
      </c>
      <c r="J56" s="5"/>
      <c r="K56" s="4"/>
      <c r="L56" s="4"/>
      <c r="M56" s="42"/>
      <c r="N56" s="10"/>
    </row>
    <row r="57" spans="2:14" ht="68.25" customHeight="1" x14ac:dyDescent="0.25">
      <c r="B57" s="76"/>
      <c r="C57" s="68"/>
      <c r="D57" s="62"/>
      <c r="E57" s="65"/>
      <c r="F57" s="2" t="s">
        <v>12</v>
      </c>
      <c r="G57" s="4" t="s">
        <v>75</v>
      </c>
      <c r="H57" s="5">
        <v>1</v>
      </c>
      <c r="I57" s="4" t="s">
        <v>359</v>
      </c>
      <c r="J57" s="5"/>
      <c r="K57" s="4"/>
      <c r="L57" s="4"/>
      <c r="M57" s="42"/>
      <c r="N57" s="10"/>
    </row>
    <row r="58" spans="2:14" ht="54" customHeight="1" x14ac:dyDescent="0.25">
      <c r="B58" s="76"/>
      <c r="C58" s="68"/>
      <c r="D58" s="62"/>
      <c r="E58" s="65"/>
      <c r="F58" s="2" t="s">
        <v>13</v>
      </c>
      <c r="G58" s="4" t="s">
        <v>76</v>
      </c>
      <c r="H58" s="5">
        <v>1</v>
      </c>
      <c r="I58" s="4" t="s">
        <v>595</v>
      </c>
      <c r="J58" s="5"/>
      <c r="K58" s="4"/>
      <c r="L58" s="4"/>
      <c r="M58" s="42"/>
      <c r="N58" s="10"/>
    </row>
    <row r="59" spans="2:14" ht="178.5" customHeight="1" x14ac:dyDescent="0.25">
      <c r="B59" s="76"/>
      <c r="C59" s="68"/>
      <c r="D59" s="63"/>
      <c r="E59" s="66"/>
      <c r="F59" s="2" t="s">
        <v>14</v>
      </c>
      <c r="G59" s="4" t="s">
        <v>77</v>
      </c>
      <c r="H59" s="5">
        <v>1</v>
      </c>
      <c r="I59" s="4" t="s">
        <v>360</v>
      </c>
      <c r="J59" s="5"/>
      <c r="K59" s="4"/>
      <c r="L59" s="4"/>
      <c r="M59" s="42"/>
      <c r="N59" s="11"/>
    </row>
    <row r="60" spans="2:14" ht="149.25" customHeight="1" x14ac:dyDescent="0.25">
      <c r="B60" s="76"/>
      <c r="C60" s="68"/>
      <c r="D60" s="61">
        <v>9</v>
      </c>
      <c r="E60" s="64" t="s">
        <v>597</v>
      </c>
      <c r="F60" s="2" t="s">
        <v>5</v>
      </c>
      <c r="G60" s="4" t="s">
        <v>598</v>
      </c>
      <c r="H60" s="5">
        <v>1</v>
      </c>
      <c r="I60" s="4" t="s">
        <v>596</v>
      </c>
      <c r="J60" s="5"/>
      <c r="K60" s="4"/>
      <c r="L60" s="4"/>
      <c r="M60" s="42"/>
      <c r="N60" s="9"/>
    </row>
    <row r="61" spans="2:14" ht="149.25" customHeight="1" x14ac:dyDescent="0.25">
      <c r="B61" s="76"/>
      <c r="C61" s="68"/>
      <c r="D61" s="62"/>
      <c r="E61" s="65"/>
      <c r="F61" s="2" t="s">
        <v>7</v>
      </c>
      <c r="G61" s="4" t="s">
        <v>81</v>
      </c>
      <c r="H61" s="5">
        <v>1</v>
      </c>
      <c r="I61" s="4" t="s">
        <v>386</v>
      </c>
      <c r="J61" s="5"/>
      <c r="K61" s="4"/>
      <c r="L61" s="4"/>
      <c r="M61" s="42"/>
      <c r="N61" s="10"/>
    </row>
    <row r="62" spans="2:14" ht="112.5" customHeight="1" x14ac:dyDescent="0.25">
      <c r="B62" s="76"/>
      <c r="C62" s="68"/>
      <c r="D62" s="62"/>
      <c r="E62" s="65"/>
      <c r="F62" s="2" t="s">
        <v>9</v>
      </c>
      <c r="G62" s="4" t="s">
        <v>599</v>
      </c>
      <c r="H62" s="5" t="s">
        <v>318</v>
      </c>
      <c r="I62" s="4" t="s">
        <v>600</v>
      </c>
      <c r="J62" s="5"/>
      <c r="K62" s="4"/>
      <c r="L62" s="4"/>
      <c r="M62" s="42"/>
      <c r="N62" s="10"/>
    </row>
    <row r="63" spans="2:14" ht="112.5" customHeight="1" x14ac:dyDescent="0.25">
      <c r="B63" s="76"/>
      <c r="C63" s="68"/>
      <c r="D63" s="62"/>
      <c r="E63" s="65"/>
      <c r="F63" s="2" t="s">
        <v>10</v>
      </c>
      <c r="G63" s="4" t="s">
        <v>79</v>
      </c>
      <c r="H63" s="5">
        <v>1</v>
      </c>
      <c r="I63" s="4" t="s">
        <v>363</v>
      </c>
      <c r="J63" s="5"/>
      <c r="K63" s="4"/>
      <c r="L63" s="4"/>
      <c r="M63" s="42"/>
      <c r="N63" s="10"/>
    </row>
    <row r="64" spans="2:14" ht="69" customHeight="1" x14ac:dyDescent="0.25">
      <c r="B64" s="76"/>
      <c r="C64" s="68"/>
      <c r="D64" s="62"/>
      <c r="E64" s="65"/>
      <c r="F64" s="2" t="s">
        <v>12</v>
      </c>
      <c r="G64" s="4" t="s">
        <v>78</v>
      </c>
      <c r="H64" s="5">
        <v>1</v>
      </c>
      <c r="I64" s="4" t="s">
        <v>362</v>
      </c>
      <c r="J64" s="5"/>
      <c r="K64" s="4"/>
      <c r="L64" s="4"/>
      <c r="M64" s="42"/>
      <c r="N64" s="10"/>
    </row>
    <row r="65" spans="2:14" ht="144.75" customHeight="1" x14ac:dyDescent="0.25">
      <c r="B65" s="76"/>
      <c r="C65" s="68"/>
      <c r="D65" s="62"/>
      <c r="E65" s="65"/>
      <c r="F65" s="2" t="s">
        <v>13</v>
      </c>
      <c r="G65" s="4" t="s">
        <v>80</v>
      </c>
      <c r="H65" s="5" t="s">
        <v>318</v>
      </c>
      <c r="I65" s="4" t="s">
        <v>385</v>
      </c>
      <c r="J65" s="5"/>
      <c r="K65" s="4"/>
      <c r="L65" s="4"/>
      <c r="M65" s="42"/>
      <c r="N65" s="11"/>
    </row>
    <row r="66" spans="2:14" ht="225" customHeight="1" x14ac:dyDescent="0.25">
      <c r="B66" s="76"/>
      <c r="C66" s="68"/>
      <c r="D66" s="61">
        <v>10</v>
      </c>
      <c r="E66" s="64" t="s">
        <v>82</v>
      </c>
      <c r="F66" s="2" t="s">
        <v>5</v>
      </c>
      <c r="G66" s="4" t="s">
        <v>83</v>
      </c>
      <c r="H66" s="5" t="s">
        <v>321</v>
      </c>
      <c r="I66" s="4" t="s">
        <v>364</v>
      </c>
      <c r="J66" s="5"/>
      <c r="K66" s="4"/>
      <c r="L66" s="4"/>
      <c r="M66" s="42"/>
      <c r="N66" s="9"/>
    </row>
    <row r="67" spans="2:14" ht="132" customHeight="1" x14ac:dyDescent="0.25">
      <c r="B67" s="76"/>
      <c r="C67" s="68"/>
      <c r="D67" s="62"/>
      <c r="E67" s="65"/>
      <c r="F67" s="2" t="s">
        <v>7</v>
      </c>
      <c r="G67" s="4" t="s">
        <v>84</v>
      </c>
      <c r="H67" s="5" t="s">
        <v>319</v>
      </c>
      <c r="I67" s="4" t="s">
        <v>365</v>
      </c>
      <c r="J67" s="5"/>
      <c r="K67" s="4"/>
      <c r="L67" s="4"/>
      <c r="M67" s="42"/>
      <c r="N67" s="10"/>
    </row>
    <row r="68" spans="2:14" ht="53.25" customHeight="1" x14ac:dyDescent="0.25">
      <c r="B68" s="76"/>
      <c r="C68" s="68"/>
      <c r="D68" s="62"/>
      <c r="E68" s="65"/>
      <c r="F68" s="2" t="s">
        <v>9</v>
      </c>
      <c r="G68" s="4" t="s">
        <v>143</v>
      </c>
      <c r="H68" s="5">
        <v>1</v>
      </c>
      <c r="I68" s="4" t="s">
        <v>387</v>
      </c>
      <c r="J68" s="5"/>
      <c r="K68" s="4"/>
      <c r="L68" s="4"/>
      <c r="M68" s="42"/>
      <c r="N68" s="10"/>
    </row>
    <row r="69" spans="2:14" ht="100.5" customHeight="1" x14ac:dyDescent="0.25">
      <c r="B69" s="76"/>
      <c r="C69" s="68"/>
      <c r="D69" s="62"/>
      <c r="E69" s="65"/>
      <c r="F69" s="2" t="s">
        <v>10</v>
      </c>
      <c r="G69" s="4" t="s">
        <v>85</v>
      </c>
      <c r="H69" s="5">
        <v>1</v>
      </c>
      <c r="I69" s="4" t="s">
        <v>388</v>
      </c>
      <c r="J69" s="5"/>
      <c r="K69" s="4"/>
      <c r="L69" s="4"/>
      <c r="M69" s="42"/>
      <c r="N69" s="10"/>
    </row>
    <row r="70" spans="2:14" ht="53.25" customHeight="1" x14ac:dyDescent="0.25">
      <c r="B70" s="76"/>
      <c r="C70" s="68"/>
      <c r="D70" s="62"/>
      <c r="E70" s="65"/>
      <c r="F70" s="2" t="s">
        <v>12</v>
      </c>
      <c r="G70" s="4" t="s">
        <v>86</v>
      </c>
      <c r="H70" s="5">
        <v>1</v>
      </c>
      <c r="I70" s="4" t="s">
        <v>387</v>
      </c>
      <c r="J70" s="5"/>
      <c r="K70" s="4"/>
      <c r="L70" s="4"/>
      <c r="M70" s="42"/>
      <c r="N70" s="10"/>
    </row>
    <row r="71" spans="2:14" ht="180" customHeight="1" x14ac:dyDescent="0.25">
      <c r="B71" s="76"/>
      <c r="C71" s="68"/>
      <c r="D71" s="62"/>
      <c r="E71" s="65"/>
      <c r="F71" s="2" t="s">
        <v>13</v>
      </c>
      <c r="G71" s="4" t="s">
        <v>87</v>
      </c>
      <c r="H71" s="5">
        <v>1</v>
      </c>
      <c r="I71" s="4" t="s">
        <v>575</v>
      </c>
      <c r="J71" s="5"/>
      <c r="K71" s="4"/>
      <c r="L71" s="4"/>
      <c r="M71" s="42"/>
      <c r="N71" s="10"/>
    </row>
    <row r="72" spans="2:14" ht="67.5" customHeight="1" x14ac:dyDescent="0.25">
      <c r="B72" s="76"/>
      <c r="C72" s="68"/>
      <c r="D72" s="62"/>
      <c r="E72" s="65"/>
      <c r="F72" s="2" t="s">
        <v>14</v>
      </c>
      <c r="G72" s="4" t="s">
        <v>88</v>
      </c>
      <c r="H72" s="5">
        <v>1</v>
      </c>
      <c r="I72" s="4" t="s">
        <v>389</v>
      </c>
      <c r="J72" s="5"/>
      <c r="K72" s="4"/>
      <c r="L72" s="4"/>
      <c r="M72" s="42"/>
      <c r="N72" s="10"/>
    </row>
    <row r="73" spans="2:14" ht="54.75" customHeight="1" x14ac:dyDescent="0.25">
      <c r="B73" s="76"/>
      <c r="C73" s="68"/>
      <c r="D73" s="62"/>
      <c r="E73" s="65"/>
      <c r="F73" s="2" t="s">
        <v>35</v>
      </c>
      <c r="G73" s="4" t="s">
        <v>89</v>
      </c>
      <c r="H73" s="5">
        <v>1</v>
      </c>
      <c r="I73" s="4" t="s">
        <v>390</v>
      </c>
      <c r="J73" s="5"/>
      <c r="K73" s="4"/>
      <c r="L73" s="4"/>
      <c r="M73" s="42"/>
      <c r="N73" s="10"/>
    </row>
    <row r="74" spans="2:14" ht="36" customHeight="1" x14ac:dyDescent="0.25">
      <c r="B74" s="76"/>
      <c r="C74" s="68"/>
      <c r="D74" s="63"/>
      <c r="E74" s="66"/>
      <c r="F74" s="2" t="s">
        <v>36</v>
      </c>
      <c r="G74" s="4" t="s">
        <v>90</v>
      </c>
      <c r="H74" s="5">
        <v>1</v>
      </c>
      <c r="I74" s="4" t="s">
        <v>387</v>
      </c>
      <c r="J74" s="5"/>
      <c r="K74" s="4"/>
      <c r="L74" s="4"/>
      <c r="M74" s="42"/>
      <c r="N74" s="11"/>
    </row>
    <row r="75" spans="2:14" ht="98.25" customHeight="1" x14ac:dyDescent="0.25">
      <c r="B75" s="76"/>
      <c r="C75" s="68"/>
      <c r="D75" s="61">
        <v>11</v>
      </c>
      <c r="E75" s="64" t="s">
        <v>91</v>
      </c>
      <c r="F75" s="2" t="s">
        <v>5</v>
      </c>
      <c r="G75" s="4" t="s">
        <v>92</v>
      </c>
      <c r="H75" s="5" t="s">
        <v>352</v>
      </c>
      <c r="I75" s="4" t="s">
        <v>391</v>
      </c>
      <c r="J75" s="5"/>
      <c r="K75" s="4"/>
      <c r="L75" s="4"/>
      <c r="M75" s="42"/>
      <c r="N75" s="9"/>
    </row>
    <row r="76" spans="2:14" ht="111" customHeight="1" x14ac:dyDescent="0.25">
      <c r="B76" s="76"/>
      <c r="C76" s="68"/>
      <c r="D76" s="62"/>
      <c r="E76" s="65"/>
      <c r="F76" s="2" t="s">
        <v>7</v>
      </c>
      <c r="G76" s="4" t="s">
        <v>93</v>
      </c>
      <c r="H76" s="5">
        <v>1</v>
      </c>
      <c r="I76" s="4" t="s">
        <v>392</v>
      </c>
      <c r="J76" s="5"/>
      <c r="K76" s="4"/>
      <c r="L76" s="4"/>
      <c r="M76" s="42"/>
      <c r="N76" s="10"/>
    </row>
    <row r="77" spans="2:14" ht="71.25" customHeight="1" x14ac:dyDescent="0.25">
      <c r="B77" s="76"/>
      <c r="C77" s="68"/>
      <c r="D77" s="62"/>
      <c r="E77" s="65"/>
      <c r="F77" s="2" t="s">
        <v>9</v>
      </c>
      <c r="G77" s="4" t="s">
        <v>601</v>
      </c>
      <c r="H77" s="5">
        <v>1</v>
      </c>
      <c r="I77" s="4" t="s">
        <v>393</v>
      </c>
      <c r="J77" s="5"/>
      <c r="K77" s="4"/>
      <c r="L77" s="4"/>
      <c r="M77" s="42"/>
      <c r="N77" s="10"/>
    </row>
    <row r="78" spans="2:14" ht="84" customHeight="1" x14ac:dyDescent="0.25">
      <c r="B78" s="76"/>
      <c r="C78" s="68"/>
      <c r="D78" s="62"/>
      <c r="E78" s="65"/>
      <c r="F78" s="2" t="s">
        <v>10</v>
      </c>
      <c r="G78" s="4" t="s">
        <v>94</v>
      </c>
      <c r="H78" s="5">
        <v>1</v>
      </c>
      <c r="I78" s="4" t="s">
        <v>394</v>
      </c>
      <c r="J78" s="5"/>
      <c r="K78" s="4"/>
      <c r="L78" s="4"/>
      <c r="M78" s="42"/>
      <c r="N78" s="10"/>
    </row>
    <row r="79" spans="2:14" ht="53.25" customHeight="1" x14ac:dyDescent="0.25">
      <c r="B79" s="76"/>
      <c r="C79" s="68"/>
      <c r="D79" s="62"/>
      <c r="E79" s="65"/>
      <c r="F79" s="2" t="s">
        <v>12</v>
      </c>
      <c r="G79" s="4" t="s">
        <v>95</v>
      </c>
      <c r="H79" s="5">
        <v>1</v>
      </c>
      <c r="I79" s="4" t="s">
        <v>395</v>
      </c>
      <c r="J79" s="5"/>
      <c r="K79" s="4"/>
      <c r="L79" s="4"/>
      <c r="M79" s="42"/>
      <c r="N79" s="10"/>
    </row>
    <row r="80" spans="2:14" ht="129" customHeight="1" x14ac:dyDescent="0.25">
      <c r="B80" s="76"/>
      <c r="C80" s="68"/>
      <c r="D80" s="62"/>
      <c r="E80" s="65"/>
      <c r="F80" s="2" t="s">
        <v>13</v>
      </c>
      <c r="G80" s="4" t="s">
        <v>96</v>
      </c>
      <c r="H80" s="5">
        <v>1</v>
      </c>
      <c r="I80" s="4" t="s">
        <v>396</v>
      </c>
      <c r="J80" s="5"/>
      <c r="K80" s="4"/>
      <c r="L80" s="4"/>
      <c r="M80" s="42"/>
      <c r="N80" s="10"/>
    </row>
    <row r="81" spans="1:14" ht="120" x14ac:dyDescent="0.25">
      <c r="B81" s="76"/>
      <c r="C81" s="68"/>
      <c r="D81" s="62"/>
      <c r="E81" s="65"/>
      <c r="F81" s="2" t="s">
        <v>14</v>
      </c>
      <c r="G81" s="4" t="s">
        <v>97</v>
      </c>
      <c r="H81" s="5">
        <v>1</v>
      </c>
      <c r="I81" s="4" t="s">
        <v>397</v>
      </c>
      <c r="J81" s="5"/>
      <c r="K81" s="4"/>
      <c r="L81" s="4"/>
      <c r="M81" s="42"/>
      <c r="N81" s="10"/>
    </row>
    <row r="82" spans="1:14" ht="54.75" customHeight="1" x14ac:dyDescent="0.25">
      <c r="B82" s="76"/>
      <c r="C82" s="68"/>
      <c r="D82" s="63"/>
      <c r="E82" s="66"/>
      <c r="F82" s="2" t="s">
        <v>35</v>
      </c>
      <c r="G82" s="4" t="s">
        <v>98</v>
      </c>
      <c r="H82" s="5">
        <v>1</v>
      </c>
      <c r="I82" s="4" t="s">
        <v>396</v>
      </c>
      <c r="J82" s="5"/>
      <c r="K82" s="4"/>
      <c r="L82" s="4"/>
      <c r="M82" s="42"/>
      <c r="N82" s="11"/>
    </row>
    <row r="83" spans="1:14" ht="90" x14ac:dyDescent="0.25">
      <c r="B83" s="76"/>
      <c r="C83" s="68"/>
      <c r="D83" s="61">
        <v>12</v>
      </c>
      <c r="E83" s="64" t="s">
        <v>99</v>
      </c>
      <c r="F83" s="2" t="s">
        <v>5</v>
      </c>
      <c r="G83" s="4" t="s">
        <v>100</v>
      </c>
      <c r="H83" s="5">
        <v>1</v>
      </c>
      <c r="I83" s="4" t="s">
        <v>398</v>
      </c>
      <c r="J83" s="5"/>
      <c r="K83" s="4"/>
      <c r="L83" s="4"/>
      <c r="M83" s="42"/>
      <c r="N83" s="9"/>
    </row>
    <row r="84" spans="1:14" ht="147.75" customHeight="1" x14ac:dyDescent="0.25">
      <c r="B84" s="76"/>
      <c r="C84" s="68"/>
      <c r="D84" s="62"/>
      <c r="E84" s="65"/>
      <c r="F84" s="2" t="s">
        <v>7</v>
      </c>
      <c r="G84" s="4" t="s">
        <v>101</v>
      </c>
      <c r="H84" s="5" t="s">
        <v>527</v>
      </c>
      <c r="I84" s="4" t="s">
        <v>399</v>
      </c>
      <c r="J84" s="5"/>
      <c r="K84" s="4"/>
      <c r="L84" s="4"/>
      <c r="M84" s="42"/>
      <c r="N84" s="10"/>
    </row>
    <row r="85" spans="1:14" ht="144" customHeight="1" x14ac:dyDescent="0.25">
      <c r="B85" s="76"/>
      <c r="C85" s="68"/>
      <c r="D85" s="62"/>
      <c r="E85" s="65"/>
      <c r="F85" s="2" t="s">
        <v>9</v>
      </c>
      <c r="G85" s="4" t="s">
        <v>102</v>
      </c>
      <c r="H85" s="5">
        <v>1</v>
      </c>
      <c r="I85" s="4" t="s">
        <v>574</v>
      </c>
      <c r="J85" s="5"/>
      <c r="K85" s="4"/>
      <c r="L85" s="4"/>
      <c r="M85" s="42"/>
      <c r="N85" s="10"/>
    </row>
    <row r="86" spans="1:14" ht="115.5" customHeight="1" x14ac:dyDescent="0.25">
      <c r="A86" t="s">
        <v>400</v>
      </c>
      <c r="B86" s="77"/>
      <c r="C86" s="74"/>
      <c r="D86" s="63"/>
      <c r="E86" s="66"/>
      <c r="F86" s="2" t="s">
        <v>10</v>
      </c>
      <c r="G86" s="4" t="s">
        <v>103</v>
      </c>
      <c r="H86" s="5">
        <v>1</v>
      </c>
      <c r="I86" s="4" t="s">
        <v>401</v>
      </c>
      <c r="J86" s="5"/>
      <c r="K86" s="4"/>
      <c r="L86" s="4"/>
      <c r="M86" s="42"/>
      <c r="N86" s="11"/>
    </row>
    <row r="87" spans="1:14" ht="81" customHeight="1" x14ac:dyDescent="0.25">
      <c r="B87" s="75">
        <v>5</v>
      </c>
      <c r="C87" s="67" t="s">
        <v>104</v>
      </c>
      <c r="D87" s="61">
        <v>13</v>
      </c>
      <c r="E87" s="64" t="s">
        <v>105</v>
      </c>
      <c r="F87" s="2" t="s">
        <v>5</v>
      </c>
      <c r="G87" s="4" t="s">
        <v>106</v>
      </c>
      <c r="H87" s="5">
        <v>1</v>
      </c>
      <c r="I87" s="4" t="s">
        <v>402</v>
      </c>
      <c r="J87" s="5"/>
      <c r="K87" s="4"/>
      <c r="L87" s="4"/>
      <c r="M87" s="42"/>
      <c r="N87" s="9"/>
    </row>
    <row r="88" spans="1:14" ht="163.5" customHeight="1" x14ac:dyDescent="0.25">
      <c r="B88" s="76"/>
      <c r="C88" s="68"/>
      <c r="D88" s="62"/>
      <c r="E88" s="65"/>
      <c r="F88" s="2" t="s">
        <v>7</v>
      </c>
      <c r="G88" s="4" t="s">
        <v>107</v>
      </c>
      <c r="H88" s="5" t="s">
        <v>322</v>
      </c>
      <c r="I88" s="4" t="s">
        <v>403</v>
      </c>
      <c r="J88" s="5"/>
      <c r="K88" s="4"/>
      <c r="L88" s="4"/>
      <c r="M88" s="42"/>
      <c r="N88" s="10"/>
    </row>
    <row r="89" spans="1:14" ht="39.75" customHeight="1" x14ac:dyDescent="0.25">
      <c r="B89" s="76"/>
      <c r="C89" s="68"/>
      <c r="D89" s="62"/>
      <c r="E89" s="65"/>
      <c r="F89" s="2" t="s">
        <v>9</v>
      </c>
      <c r="G89" s="4" t="s">
        <v>108</v>
      </c>
      <c r="H89" s="5">
        <v>1</v>
      </c>
      <c r="I89" s="4" t="s">
        <v>387</v>
      </c>
      <c r="J89" s="5"/>
      <c r="K89" s="4"/>
      <c r="L89" s="4"/>
      <c r="M89" s="42"/>
      <c r="N89" s="10"/>
    </row>
    <row r="90" spans="1:14" ht="119.25" customHeight="1" x14ac:dyDescent="0.25">
      <c r="B90" s="76"/>
      <c r="C90" s="68"/>
      <c r="D90" s="62"/>
      <c r="E90" s="65"/>
      <c r="F90" s="2" t="s">
        <v>10</v>
      </c>
      <c r="G90" s="4" t="s">
        <v>109</v>
      </c>
      <c r="H90" s="5" t="s">
        <v>343</v>
      </c>
      <c r="I90" s="4" t="s">
        <v>404</v>
      </c>
      <c r="J90" s="5"/>
      <c r="K90" s="4"/>
      <c r="L90" s="4"/>
      <c r="M90" s="42"/>
      <c r="N90" s="10"/>
    </row>
    <row r="91" spans="1:14" ht="102" customHeight="1" x14ac:dyDescent="0.25">
      <c r="B91" s="76"/>
      <c r="C91" s="68"/>
      <c r="D91" s="62"/>
      <c r="E91" s="65"/>
      <c r="F91" s="2" t="s">
        <v>12</v>
      </c>
      <c r="G91" s="4" t="s">
        <v>110</v>
      </c>
      <c r="H91" s="5">
        <v>1</v>
      </c>
      <c r="I91" s="4" t="s">
        <v>405</v>
      </c>
      <c r="J91" s="5"/>
      <c r="K91" s="4"/>
      <c r="L91" s="4"/>
      <c r="M91" s="42"/>
      <c r="N91" s="10"/>
    </row>
    <row r="92" spans="1:14" ht="82.5" customHeight="1" x14ac:dyDescent="0.25">
      <c r="B92" s="76"/>
      <c r="C92" s="68"/>
      <c r="D92" s="62"/>
      <c r="E92" s="65"/>
      <c r="F92" s="2" t="s">
        <v>13</v>
      </c>
      <c r="G92" s="4" t="s">
        <v>111</v>
      </c>
      <c r="H92" s="5" t="s">
        <v>343</v>
      </c>
      <c r="I92" s="4" t="s">
        <v>406</v>
      </c>
      <c r="J92" s="5"/>
      <c r="K92" s="4"/>
      <c r="L92" s="4"/>
      <c r="M92" s="42"/>
      <c r="N92" s="10"/>
    </row>
    <row r="93" spans="1:14" ht="215.25" customHeight="1" x14ac:dyDescent="0.25">
      <c r="B93" s="76"/>
      <c r="C93" s="68"/>
      <c r="D93" s="63"/>
      <c r="E93" s="66"/>
      <c r="F93" s="2" t="s">
        <v>14</v>
      </c>
      <c r="G93" s="4" t="s">
        <v>144</v>
      </c>
      <c r="H93" s="5" t="s">
        <v>343</v>
      </c>
      <c r="I93" s="4" t="s">
        <v>407</v>
      </c>
      <c r="J93" s="5"/>
      <c r="K93" s="4"/>
      <c r="L93" s="4"/>
      <c r="M93" s="42"/>
      <c r="N93" s="11"/>
    </row>
    <row r="94" spans="1:14" ht="107.25" customHeight="1" x14ac:dyDescent="0.25">
      <c r="B94" s="76"/>
      <c r="C94" s="68"/>
      <c r="D94" s="61">
        <v>14</v>
      </c>
      <c r="E94" s="64" t="s">
        <v>112</v>
      </c>
      <c r="F94" s="2" t="s">
        <v>5</v>
      </c>
      <c r="G94" s="4" t="s">
        <v>113</v>
      </c>
      <c r="H94" s="5" t="s">
        <v>352</v>
      </c>
      <c r="I94" s="4" t="s">
        <v>408</v>
      </c>
      <c r="J94" s="5"/>
      <c r="K94" s="4"/>
      <c r="L94" s="4"/>
      <c r="M94" s="42"/>
      <c r="N94" s="9"/>
    </row>
    <row r="95" spans="1:14" ht="84" customHeight="1" x14ac:dyDescent="0.25">
      <c r="B95" s="76"/>
      <c r="C95" s="68"/>
      <c r="D95" s="62"/>
      <c r="E95" s="65"/>
      <c r="F95" s="2" t="s">
        <v>7</v>
      </c>
      <c r="G95" s="4" t="s">
        <v>114</v>
      </c>
      <c r="H95" s="5">
        <v>1</v>
      </c>
      <c r="I95" s="4" t="s">
        <v>409</v>
      </c>
      <c r="J95" s="5"/>
      <c r="K95" s="4"/>
      <c r="L95" s="4"/>
      <c r="M95" s="42"/>
      <c r="N95" s="10"/>
    </row>
    <row r="96" spans="1:14" ht="132.75" customHeight="1" x14ac:dyDescent="0.25">
      <c r="B96" s="76"/>
      <c r="C96" s="68"/>
      <c r="D96" s="62"/>
      <c r="E96" s="65"/>
      <c r="F96" s="2" t="s">
        <v>9</v>
      </c>
      <c r="G96" s="4" t="s">
        <v>115</v>
      </c>
      <c r="H96" s="5" t="s">
        <v>319</v>
      </c>
      <c r="I96" s="4" t="s">
        <v>410</v>
      </c>
      <c r="J96" s="5"/>
      <c r="K96" s="4"/>
      <c r="L96" s="4"/>
      <c r="M96" s="42"/>
      <c r="N96" s="10"/>
    </row>
    <row r="97" spans="2:14" ht="135" customHeight="1" x14ac:dyDescent="0.25">
      <c r="B97" s="76"/>
      <c r="C97" s="68"/>
      <c r="D97" s="62"/>
      <c r="E97" s="65"/>
      <c r="F97" s="2" t="s">
        <v>10</v>
      </c>
      <c r="G97" s="4" t="s">
        <v>116</v>
      </c>
      <c r="H97" s="5" t="s">
        <v>352</v>
      </c>
      <c r="I97" s="4" t="s">
        <v>411</v>
      </c>
      <c r="J97" s="5"/>
      <c r="K97" s="4"/>
      <c r="L97" s="4"/>
      <c r="M97" s="42"/>
      <c r="N97" s="10"/>
    </row>
    <row r="98" spans="2:14" ht="81.75" customHeight="1" x14ac:dyDescent="0.25">
      <c r="B98" s="76"/>
      <c r="C98" s="68"/>
      <c r="D98" s="62"/>
      <c r="E98" s="65"/>
      <c r="F98" s="2" t="s">
        <v>12</v>
      </c>
      <c r="G98" s="4" t="s">
        <v>117</v>
      </c>
      <c r="H98" s="5">
        <v>1</v>
      </c>
      <c r="I98" s="4" t="s">
        <v>412</v>
      </c>
      <c r="J98" s="5"/>
      <c r="K98" s="4"/>
      <c r="L98" s="4"/>
      <c r="M98" s="42"/>
      <c r="N98" s="10"/>
    </row>
    <row r="99" spans="2:14" ht="117" customHeight="1" x14ac:dyDescent="0.25">
      <c r="B99" s="76"/>
      <c r="C99" s="68"/>
      <c r="D99" s="62"/>
      <c r="E99" s="65"/>
      <c r="F99" s="2" t="s">
        <v>13</v>
      </c>
      <c r="G99" s="4" t="s">
        <v>118</v>
      </c>
      <c r="H99" s="5" t="s">
        <v>319</v>
      </c>
      <c r="I99" s="4" t="s">
        <v>413</v>
      </c>
      <c r="J99" s="5"/>
      <c r="K99" s="4"/>
      <c r="L99" s="4"/>
      <c r="M99" s="42"/>
      <c r="N99" s="10"/>
    </row>
    <row r="100" spans="2:14" ht="113.25" customHeight="1" x14ac:dyDescent="0.25">
      <c r="B100" s="76"/>
      <c r="C100" s="68"/>
      <c r="D100" s="63"/>
      <c r="E100" s="66"/>
      <c r="F100" s="2" t="s">
        <v>14</v>
      </c>
      <c r="G100" s="4" t="s">
        <v>119</v>
      </c>
      <c r="H100" s="5" t="s">
        <v>352</v>
      </c>
      <c r="I100" s="4" t="s">
        <v>414</v>
      </c>
      <c r="J100" s="5"/>
      <c r="K100" s="4"/>
      <c r="L100" s="4"/>
      <c r="M100" s="42"/>
      <c r="N100" s="11"/>
    </row>
    <row r="101" spans="2:14" ht="323.25" customHeight="1" x14ac:dyDescent="0.25">
      <c r="B101" s="76"/>
      <c r="C101" s="68"/>
      <c r="D101" s="61">
        <v>15</v>
      </c>
      <c r="E101" s="64" t="s">
        <v>120</v>
      </c>
      <c r="F101" s="2" t="s">
        <v>5</v>
      </c>
      <c r="G101" s="4" t="s">
        <v>121</v>
      </c>
      <c r="H101" s="5" t="s">
        <v>343</v>
      </c>
      <c r="I101" s="4" t="s">
        <v>620</v>
      </c>
      <c r="J101" s="5" t="s">
        <v>322</v>
      </c>
      <c r="K101" s="4"/>
      <c r="M101" s="42"/>
      <c r="N101" s="9"/>
    </row>
    <row r="102" spans="2:14" ht="239.25" customHeight="1" x14ac:dyDescent="0.25">
      <c r="B102" s="76"/>
      <c r="C102" s="68"/>
      <c r="D102" s="62"/>
      <c r="E102" s="65"/>
      <c r="F102" s="2" t="s">
        <v>7</v>
      </c>
      <c r="G102" s="4" t="s">
        <v>122</v>
      </c>
      <c r="H102" s="5" t="s">
        <v>343</v>
      </c>
      <c r="I102" s="4" t="s">
        <v>415</v>
      </c>
      <c r="J102" s="5" t="s">
        <v>367</v>
      </c>
      <c r="K102" s="4"/>
      <c r="L102" s="4"/>
      <c r="M102" s="42"/>
      <c r="N102" s="10"/>
    </row>
    <row r="103" spans="2:14" ht="59.25" customHeight="1" x14ac:dyDescent="0.25">
      <c r="B103" s="76"/>
      <c r="C103" s="68"/>
      <c r="D103" s="62"/>
      <c r="E103" s="65"/>
      <c r="F103" s="2" t="s">
        <v>9</v>
      </c>
      <c r="G103" s="4" t="s">
        <v>123</v>
      </c>
      <c r="H103" s="5">
        <v>1</v>
      </c>
      <c r="I103" s="4" t="s">
        <v>416</v>
      </c>
      <c r="J103" s="5">
        <v>1</v>
      </c>
      <c r="K103" s="4"/>
      <c r="L103" s="4"/>
      <c r="M103" s="42"/>
      <c r="N103" s="10"/>
    </row>
    <row r="104" spans="2:14" ht="108.75" customHeight="1" x14ac:dyDescent="0.25">
      <c r="B104" s="76"/>
      <c r="C104" s="68"/>
      <c r="D104" s="62"/>
      <c r="E104" s="65"/>
      <c r="F104" s="2" t="s">
        <v>10</v>
      </c>
      <c r="G104" s="4" t="s">
        <v>124</v>
      </c>
      <c r="H104" s="5" t="s">
        <v>343</v>
      </c>
      <c r="I104" s="4" t="s">
        <v>417</v>
      </c>
      <c r="J104" s="5">
        <v>1</v>
      </c>
      <c r="K104" s="4"/>
      <c r="L104" s="4"/>
      <c r="M104" s="42"/>
      <c r="N104" s="10"/>
    </row>
    <row r="105" spans="2:14" ht="115.5" customHeight="1" x14ac:dyDescent="0.25">
      <c r="B105" s="76"/>
      <c r="C105" s="68"/>
      <c r="D105" s="62"/>
      <c r="E105" s="65"/>
      <c r="F105" s="2" t="s">
        <v>12</v>
      </c>
      <c r="G105" s="4" t="s">
        <v>125</v>
      </c>
      <c r="H105" s="5">
        <v>1</v>
      </c>
      <c r="I105" s="4" t="s">
        <v>418</v>
      </c>
      <c r="J105" s="5">
        <v>1</v>
      </c>
      <c r="K105" s="4"/>
      <c r="L105" s="4"/>
      <c r="M105" s="42"/>
      <c r="N105" s="10"/>
    </row>
    <row r="106" spans="2:14" ht="57" customHeight="1" x14ac:dyDescent="0.25">
      <c r="B106" s="76"/>
      <c r="C106" s="68"/>
      <c r="D106" s="62"/>
      <c r="E106" s="65"/>
      <c r="F106" s="2" t="s">
        <v>13</v>
      </c>
      <c r="G106" s="4" t="s">
        <v>126</v>
      </c>
      <c r="H106" s="5">
        <v>1</v>
      </c>
      <c r="I106" s="4" t="s">
        <v>419</v>
      </c>
      <c r="J106" s="5">
        <v>1</v>
      </c>
      <c r="K106" s="4"/>
      <c r="L106" s="4"/>
      <c r="M106" s="42"/>
      <c r="N106" s="10"/>
    </row>
    <row r="107" spans="2:14" ht="72" customHeight="1" x14ac:dyDescent="0.25">
      <c r="B107" s="76"/>
      <c r="C107" s="68"/>
      <c r="D107" s="63"/>
      <c r="E107" s="66"/>
      <c r="F107" s="2" t="s">
        <v>14</v>
      </c>
      <c r="G107" s="4" t="s">
        <v>127</v>
      </c>
      <c r="H107" s="5">
        <v>1</v>
      </c>
      <c r="I107" s="4" t="s">
        <v>420</v>
      </c>
      <c r="J107" s="5">
        <v>1</v>
      </c>
      <c r="K107" s="4"/>
      <c r="L107" s="4"/>
      <c r="M107" s="42"/>
      <c r="N107" s="11"/>
    </row>
    <row r="108" spans="2:14" ht="186" customHeight="1" x14ac:dyDescent="0.25">
      <c r="B108" s="76"/>
      <c r="C108" s="68"/>
      <c r="D108" s="61">
        <v>16</v>
      </c>
      <c r="E108" s="64" t="s">
        <v>128</v>
      </c>
      <c r="F108" s="2" t="s">
        <v>5</v>
      </c>
      <c r="G108" s="4" t="s">
        <v>145</v>
      </c>
      <c r="H108" s="5">
        <v>1</v>
      </c>
      <c r="I108" s="4" t="s">
        <v>421</v>
      </c>
      <c r="J108" s="5">
        <v>1</v>
      </c>
      <c r="K108" s="4"/>
      <c r="M108" s="42"/>
      <c r="N108" s="9"/>
    </row>
    <row r="109" spans="2:14" ht="76.5" customHeight="1" x14ac:dyDescent="0.25">
      <c r="B109" s="76"/>
      <c r="C109" s="68"/>
      <c r="D109" s="62"/>
      <c r="E109" s="65"/>
      <c r="F109" s="2" t="s">
        <v>7</v>
      </c>
      <c r="G109" s="4" t="s">
        <v>129</v>
      </c>
      <c r="H109" s="5">
        <v>1</v>
      </c>
      <c r="I109" s="4" t="s">
        <v>422</v>
      </c>
      <c r="J109" s="5">
        <v>1</v>
      </c>
      <c r="K109" s="4"/>
      <c r="L109" s="4"/>
      <c r="M109" s="42"/>
      <c r="N109" s="10"/>
    </row>
    <row r="110" spans="2:14" ht="311.25" customHeight="1" x14ac:dyDescent="0.25">
      <c r="B110" s="76"/>
      <c r="C110" s="68"/>
      <c r="D110" s="62"/>
      <c r="E110" s="65"/>
      <c r="F110" s="2" t="s">
        <v>9</v>
      </c>
      <c r="G110" s="4" t="s">
        <v>130</v>
      </c>
      <c r="H110" s="5">
        <v>1</v>
      </c>
      <c r="I110" s="4" t="s">
        <v>622</v>
      </c>
      <c r="J110" s="5" t="s">
        <v>352</v>
      </c>
      <c r="K110" s="4"/>
      <c r="M110" s="42"/>
      <c r="N110" s="10"/>
    </row>
    <row r="111" spans="2:14" ht="100.5" customHeight="1" x14ac:dyDescent="0.25">
      <c r="B111" s="76"/>
      <c r="C111" s="68"/>
      <c r="D111" s="62"/>
      <c r="E111" s="65"/>
      <c r="F111" s="2" t="s">
        <v>10</v>
      </c>
      <c r="G111" s="4" t="s">
        <v>131</v>
      </c>
      <c r="H111" s="5">
        <v>1</v>
      </c>
      <c r="I111" s="4" t="s">
        <v>623</v>
      </c>
      <c r="J111" s="5">
        <v>1</v>
      </c>
      <c r="K111" s="4"/>
      <c r="L111" s="4"/>
      <c r="M111" s="42"/>
      <c r="N111" s="10"/>
    </row>
    <row r="112" spans="2:14" ht="141.75" customHeight="1" x14ac:dyDescent="0.25">
      <c r="B112" s="76"/>
      <c r="C112" s="68"/>
      <c r="D112" s="62"/>
      <c r="E112" s="65"/>
      <c r="F112" s="2" t="s">
        <v>12</v>
      </c>
      <c r="G112" s="4" t="s">
        <v>132</v>
      </c>
      <c r="H112" s="5">
        <v>1</v>
      </c>
      <c r="I112" s="4" t="s">
        <v>624</v>
      </c>
      <c r="J112" s="5">
        <v>1</v>
      </c>
      <c r="K112" s="4"/>
      <c r="L112" s="4"/>
      <c r="M112" s="42"/>
      <c r="N112" s="10"/>
    </row>
    <row r="113" spans="2:14" ht="183.75" customHeight="1" x14ac:dyDescent="0.25">
      <c r="B113" s="76"/>
      <c r="C113" s="68"/>
      <c r="D113" s="63"/>
      <c r="E113" s="66"/>
      <c r="F113" s="2" t="s">
        <v>13</v>
      </c>
      <c r="G113" s="4" t="s">
        <v>133</v>
      </c>
      <c r="H113" s="5">
        <v>1</v>
      </c>
      <c r="I113" s="4" t="s">
        <v>423</v>
      </c>
      <c r="J113" s="5">
        <v>1</v>
      </c>
      <c r="K113" s="4"/>
      <c r="L113" s="4"/>
      <c r="M113" s="42"/>
      <c r="N113" s="11"/>
    </row>
    <row r="114" spans="2:14" ht="286.5" customHeight="1" x14ac:dyDescent="0.25">
      <c r="B114" s="76"/>
      <c r="C114" s="68"/>
      <c r="D114" s="61">
        <v>17</v>
      </c>
      <c r="E114" s="64" t="s">
        <v>134</v>
      </c>
      <c r="F114" s="2" t="s">
        <v>5</v>
      </c>
      <c r="G114" s="4" t="s">
        <v>135</v>
      </c>
      <c r="H114" s="5">
        <v>1</v>
      </c>
      <c r="I114" s="4" t="s">
        <v>424</v>
      </c>
      <c r="J114" s="5">
        <v>1</v>
      </c>
      <c r="K114" s="4"/>
      <c r="L114" s="4"/>
      <c r="M114" s="42"/>
      <c r="N114" s="9"/>
    </row>
    <row r="115" spans="2:14" ht="163.5" customHeight="1" x14ac:dyDescent="0.25">
      <c r="B115" s="76"/>
      <c r="C115" s="68"/>
      <c r="D115" s="62"/>
      <c r="E115" s="65"/>
      <c r="F115" s="2" t="s">
        <v>7</v>
      </c>
      <c r="G115" s="4" t="s">
        <v>146</v>
      </c>
      <c r="H115" s="5">
        <v>1</v>
      </c>
      <c r="I115" s="4" t="s">
        <v>425</v>
      </c>
      <c r="J115" s="5">
        <v>1</v>
      </c>
      <c r="K115" s="4"/>
      <c r="L115" s="4"/>
      <c r="M115" s="42"/>
      <c r="N115" s="10"/>
    </row>
    <row r="116" spans="2:14" ht="293.25" customHeight="1" x14ac:dyDescent="0.25">
      <c r="B116" s="76"/>
      <c r="C116" s="68"/>
      <c r="D116" s="62"/>
      <c r="E116" s="65"/>
      <c r="F116" s="2" t="s">
        <v>9</v>
      </c>
      <c r="G116" s="4" t="s">
        <v>147</v>
      </c>
      <c r="H116" s="5">
        <v>1</v>
      </c>
      <c r="I116" s="4" t="s">
        <v>426</v>
      </c>
      <c r="J116" s="5">
        <v>1</v>
      </c>
      <c r="K116" s="4"/>
      <c r="L116" s="4"/>
      <c r="M116" s="42"/>
      <c r="N116" s="10"/>
    </row>
    <row r="117" spans="2:14" ht="94.5" customHeight="1" x14ac:dyDescent="0.25">
      <c r="B117" s="76"/>
      <c r="C117" s="68"/>
      <c r="D117" s="62"/>
      <c r="E117" s="65"/>
      <c r="F117" s="2" t="s">
        <v>10</v>
      </c>
      <c r="G117" s="4" t="s">
        <v>136</v>
      </c>
      <c r="H117" s="5">
        <v>1</v>
      </c>
      <c r="I117" s="4" t="s">
        <v>625</v>
      </c>
      <c r="J117" s="5">
        <v>1</v>
      </c>
      <c r="K117" s="4"/>
      <c r="L117" s="4"/>
      <c r="M117" s="42"/>
      <c r="N117" s="10"/>
    </row>
    <row r="118" spans="2:14" ht="81.75" customHeight="1" x14ac:dyDescent="0.25">
      <c r="B118" s="76"/>
      <c r="C118" s="68"/>
      <c r="D118" s="63"/>
      <c r="E118" s="66"/>
      <c r="F118" s="2" t="s">
        <v>12</v>
      </c>
      <c r="G118" s="4" t="s">
        <v>137</v>
      </c>
      <c r="H118" s="5">
        <v>1</v>
      </c>
      <c r="I118" s="4" t="s">
        <v>427</v>
      </c>
      <c r="J118" s="5">
        <v>1</v>
      </c>
      <c r="K118" s="4"/>
      <c r="L118" s="4"/>
      <c r="M118" s="42"/>
      <c r="N118" s="11"/>
    </row>
    <row r="119" spans="2:14" ht="186.75" customHeight="1" x14ac:dyDescent="0.25">
      <c r="B119" s="76"/>
      <c r="C119" s="68"/>
      <c r="D119" s="61">
        <v>18</v>
      </c>
      <c r="E119" s="64" t="s">
        <v>138</v>
      </c>
      <c r="F119" s="2" t="s">
        <v>5</v>
      </c>
      <c r="G119" s="4" t="s">
        <v>139</v>
      </c>
      <c r="H119" s="5" t="s">
        <v>627</v>
      </c>
      <c r="I119" s="4" t="s">
        <v>637</v>
      </c>
      <c r="J119" s="5">
        <v>1</v>
      </c>
      <c r="K119" s="4"/>
      <c r="L119" s="4"/>
      <c r="M119" s="42"/>
      <c r="N119" s="9"/>
    </row>
    <row r="120" spans="2:14" ht="153.75" customHeight="1" x14ac:dyDescent="0.25">
      <c r="B120" s="76"/>
      <c r="C120" s="68"/>
      <c r="D120" s="62"/>
      <c r="E120" s="65"/>
      <c r="F120" s="2" t="s">
        <v>7</v>
      </c>
      <c r="G120" s="4" t="s">
        <v>632</v>
      </c>
      <c r="H120" s="5" t="s">
        <v>319</v>
      </c>
      <c r="I120" s="4" t="s">
        <v>638</v>
      </c>
      <c r="J120" s="5">
        <v>1</v>
      </c>
      <c r="K120" s="4"/>
      <c r="L120" s="4"/>
      <c r="M120" s="42"/>
      <c r="N120" s="10"/>
    </row>
    <row r="121" spans="2:14" ht="214.5" customHeight="1" x14ac:dyDescent="0.25">
      <c r="B121" s="76"/>
      <c r="C121" s="68"/>
      <c r="D121" s="62"/>
      <c r="E121" s="65"/>
      <c r="F121" s="2" t="s">
        <v>9</v>
      </c>
      <c r="G121" s="4" t="s">
        <v>738</v>
      </c>
      <c r="H121" s="5" t="s">
        <v>322</v>
      </c>
      <c r="I121" s="4" t="s">
        <v>639</v>
      </c>
      <c r="J121" s="5">
        <v>1</v>
      </c>
      <c r="K121" s="4"/>
      <c r="L121" s="4"/>
      <c r="M121" s="42"/>
      <c r="N121" s="10"/>
    </row>
    <row r="122" spans="2:14" ht="143.25" customHeight="1" x14ac:dyDescent="0.25">
      <c r="B122" s="76"/>
      <c r="C122" s="68"/>
      <c r="D122" s="62"/>
      <c r="E122" s="65"/>
      <c r="F122" s="2" t="s">
        <v>10</v>
      </c>
      <c r="G122" s="4" t="s">
        <v>633</v>
      </c>
      <c r="H122" s="5">
        <v>1</v>
      </c>
      <c r="I122" s="4" t="s">
        <v>640</v>
      </c>
      <c r="J122" s="5">
        <v>1</v>
      </c>
      <c r="K122" s="4"/>
      <c r="L122" s="4"/>
      <c r="M122" s="42"/>
      <c r="N122" s="10"/>
    </row>
    <row r="123" spans="2:14" ht="84.75" customHeight="1" x14ac:dyDescent="0.25">
      <c r="B123" s="76"/>
      <c r="C123" s="68"/>
      <c r="D123" s="62"/>
      <c r="E123" s="65"/>
      <c r="F123" s="2" t="s">
        <v>12</v>
      </c>
      <c r="G123" s="4" t="s">
        <v>140</v>
      </c>
      <c r="H123" s="5">
        <v>1</v>
      </c>
      <c r="I123" s="4" t="s">
        <v>429</v>
      </c>
      <c r="J123" s="5">
        <v>1</v>
      </c>
      <c r="K123" s="4"/>
      <c r="L123" s="4"/>
      <c r="M123" s="42"/>
      <c r="N123" s="10"/>
    </row>
    <row r="124" spans="2:14" ht="181.5" customHeight="1" x14ac:dyDescent="0.25">
      <c r="B124" s="76"/>
      <c r="C124" s="68"/>
      <c r="D124" s="62"/>
      <c r="E124" s="65"/>
      <c r="F124" s="2" t="s">
        <v>13</v>
      </c>
      <c r="G124" s="4" t="s">
        <v>634</v>
      </c>
      <c r="H124" s="5" t="s">
        <v>318</v>
      </c>
      <c r="I124" s="4" t="s">
        <v>644</v>
      </c>
      <c r="J124" s="5" t="s">
        <v>319</v>
      </c>
      <c r="K124" s="4"/>
      <c r="L124" s="4"/>
      <c r="M124" s="42"/>
      <c r="N124" s="10"/>
    </row>
    <row r="125" spans="2:14" ht="124.5" customHeight="1" x14ac:dyDescent="0.25">
      <c r="B125" s="76"/>
      <c r="C125" s="68"/>
      <c r="D125" s="62"/>
      <c r="E125" s="65"/>
      <c r="F125" s="2" t="s">
        <v>14</v>
      </c>
      <c r="G125" s="4" t="s">
        <v>635</v>
      </c>
      <c r="H125" s="5">
        <v>1</v>
      </c>
      <c r="I125" s="4" t="s">
        <v>641</v>
      </c>
      <c r="J125" s="5">
        <v>1</v>
      </c>
      <c r="K125" s="4"/>
      <c r="L125" s="4"/>
      <c r="M125" s="42"/>
      <c r="N125" s="10"/>
    </row>
    <row r="126" spans="2:14" ht="120.75" customHeight="1" x14ac:dyDescent="0.25">
      <c r="B126" s="76"/>
      <c r="C126" s="68"/>
      <c r="D126" s="62"/>
      <c r="E126" s="65"/>
      <c r="F126" s="2" t="s">
        <v>35</v>
      </c>
      <c r="G126" s="4" t="s">
        <v>645</v>
      </c>
      <c r="H126" s="5">
        <v>1</v>
      </c>
      <c r="I126" s="4" t="s">
        <v>642</v>
      </c>
      <c r="J126" s="5"/>
      <c r="K126" s="4"/>
      <c r="L126" s="4"/>
      <c r="M126" s="42"/>
      <c r="N126" s="10"/>
    </row>
    <row r="127" spans="2:14" ht="133.5" customHeight="1" x14ac:dyDescent="0.25">
      <c r="B127" s="76"/>
      <c r="C127" s="68"/>
      <c r="D127" s="62"/>
      <c r="E127" s="65"/>
      <c r="F127" s="2" t="s">
        <v>36</v>
      </c>
      <c r="G127" s="4" t="s">
        <v>636</v>
      </c>
      <c r="H127" s="5">
        <v>1</v>
      </c>
      <c r="I127" s="4" t="s">
        <v>643</v>
      </c>
      <c r="J127" s="5"/>
      <c r="K127" s="4"/>
      <c r="L127" s="4"/>
      <c r="M127" s="42"/>
      <c r="N127" s="11"/>
    </row>
    <row r="128" spans="2:14" ht="309.75" customHeight="1" x14ac:dyDescent="0.25">
      <c r="B128" s="76"/>
      <c r="C128" s="68"/>
      <c r="D128" s="61">
        <v>19</v>
      </c>
      <c r="E128" s="64" t="s">
        <v>141</v>
      </c>
      <c r="F128" s="2" t="s">
        <v>5</v>
      </c>
      <c r="G128" s="4" t="s">
        <v>142</v>
      </c>
      <c r="H128" s="5" t="s">
        <v>627</v>
      </c>
      <c r="I128" s="4" t="s">
        <v>626</v>
      </c>
      <c r="J128" s="5" t="s">
        <v>739</v>
      </c>
      <c r="K128" s="4"/>
      <c r="L128" s="4"/>
      <c r="M128" s="42"/>
      <c r="N128" s="9"/>
    </row>
    <row r="129" spans="2:14" ht="331.5" customHeight="1" x14ac:dyDescent="0.25">
      <c r="B129" s="76"/>
      <c r="C129" s="68"/>
      <c r="D129" s="62"/>
      <c r="E129" s="65"/>
      <c r="F129" s="2" t="s">
        <v>7</v>
      </c>
      <c r="G129" s="4" t="s">
        <v>149</v>
      </c>
      <c r="H129" s="5" t="s">
        <v>627</v>
      </c>
      <c r="I129" s="4" t="s">
        <v>647</v>
      </c>
      <c r="J129" s="5" t="s">
        <v>648</v>
      </c>
      <c r="K129" s="4"/>
      <c r="L129" s="4"/>
      <c r="M129" s="42"/>
      <c r="N129" s="10"/>
    </row>
    <row r="130" spans="2:14" ht="197.25" customHeight="1" x14ac:dyDescent="0.25">
      <c r="B130" s="76"/>
      <c r="C130" s="68"/>
      <c r="D130" s="62"/>
      <c r="E130" s="65"/>
      <c r="F130" s="2" t="s">
        <v>9</v>
      </c>
      <c r="G130" s="4" t="s">
        <v>148</v>
      </c>
      <c r="H130" s="5" t="s">
        <v>318</v>
      </c>
      <c r="I130" s="4" t="s">
        <v>430</v>
      </c>
      <c r="J130" s="5" t="s">
        <v>646</v>
      </c>
      <c r="K130" s="4"/>
      <c r="L130" s="4"/>
      <c r="M130" s="42"/>
      <c r="N130" s="10"/>
    </row>
    <row r="131" spans="2:14" ht="135.75" customHeight="1" x14ac:dyDescent="0.25">
      <c r="B131" s="76"/>
      <c r="C131" s="68"/>
      <c r="D131" s="62"/>
      <c r="E131" s="65"/>
      <c r="F131" s="2" t="s">
        <v>10</v>
      </c>
      <c r="G131" s="4" t="s">
        <v>150</v>
      </c>
      <c r="H131" s="5">
        <v>1</v>
      </c>
      <c r="I131" s="4" t="s">
        <v>433</v>
      </c>
      <c r="J131" s="5">
        <v>1</v>
      </c>
      <c r="K131" s="4"/>
      <c r="L131" s="4"/>
      <c r="M131" s="42"/>
      <c r="N131" s="10"/>
    </row>
    <row r="132" spans="2:14" ht="237.75" customHeight="1" x14ac:dyDescent="0.25">
      <c r="B132" s="76"/>
      <c r="C132" s="68"/>
      <c r="D132" s="62"/>
      <c r="E132" s="65"/>
      <c r="F132" s="2" t="s">
        <v>12</v>
      </c>
      <c r="G132" s="4" t="s">
        <v>431</v>
      </c>
      <c r="H132" s="5" t="s">
        <v>318</v>
      </c>
      <c r="I132" s="4" t="s">
        <v>432</v>
      </c>
      <c r="J132" s="5">
        <v>1</v>
      </c>
      <c r="K132" s="4"/>
      <c r="L132" s="4"/>
      <c r="M132" s="42"/>
      <c r="N132" s="11"/>
    </row>
    <row r="133" spans="2:14" ht="126" customHeight="1" x14ac:dyDescent="0.25">
      <c r="B133" s="75">
        <v>6</v>
      </c>
      <c r="C133" s="71" t="s">
        <v>151</v>
      </c>
      <c r="D133" s="61">
        <v>20</v>
      </c>
      <c r="E133" s="64" t="s">
        <v>152</v>
      </c>
      <c r="F133" s="2" t="s">
        <v>5</v>
      </c>
      <c r="G133" s="4" t="s">
        <v>153</v>
      </c>
      <c r="H133" s="5">
        <v>1</v>
      </c>
      <c r="I133" s="4" t="s">
        <v>434</v>
      </c>
      <c r="J133" s="5">
        <v>1</v>
      </c>
      <c r="K133" s="4"/>
      <c r="L133" s="4"/>
      <c r="M133" s="42"/>
      <c r="N133" s="9"/>
    </row>
    <row r="134" spans="2:14" ht="159.75" customHeight="1" x14ac:dyDescent="0.25">
      <c r="B134" s="76"/>
      <c r="C134" s="72"/>
      <c r="D134" s="62"/>
      <c r="E134" s="65"/>
      <c r="F134" s="2" t="s">
        <v>7</v>
      </c>
      <c r="G134" s="4" t="s">
        <v>154</v>
      </c>
      <c r="H134" s="5">
        <v>1</v>
      </c>
      <c r="I134" s="4" t="s">
        <v>435</v>
      </c>
      <c r="J134" s="5">
        <v>1</v>
      </c>
      <c r="K134" s="4"/>
      <c r="L134" s="4"/>
      <c r="M134" s="42"/>
      <c r="N134" s="10"/>
    </row>
    <row r="135" spans="2:14" ht="230.25" customHeight="1" x14ac:dyDescent="0.25">
      <c r="B135" s="76"/>
      <c r="C135" s="72"/>
      <c r="D135" s="62"/>
      <c r="E135" s="65"/>
      <c r="F135" s="2" t="s">
        <v>9</v>
      </c>
      <c r="G135" s="4" t="s">
        <v>155</v>
      </c>
      <c r="H135" s="5" t="s">
        <v>352</v>
      </c>
      <c r="I135" s="4" t="s">
        <v>436</v>
      </c>
      <c r="J135" s="5" t="s">
        <v>321</v>
      </c>
      <c r="K135" s="4"/>
      <c r="L135" s="4"/>
      <c r="M135" s="42"/>
      <c r="N135" s="10"/>
    </row>
    <row r="136" spans="2:14" ht="266.25" customHeight="1" x14ac:dyDescent="0.25">
      <c r="B136" s="76"/>
      <c r="C136" s="72"/>
      <c r="D136" s="62"/>
      <c r="E136" s="65"/>
      <c r="F136" s="2" t="s">
        <v>10</v>
      </c>
      <c r="G136" s="4" t="s">
        <v>156</v>
      </c>
      <c r="H136" s="5" t="s">
        <v>352</v>
      </c>
      <c r="I136" s="4" t="s">
        <v>437</v>
      </c>
      <c r="J136" s="5" t="s">
        <v>321</v>
      </c>
      <c r="K136" s="4"/>
      <c r="L136" s="4"/>
      <c r="M136" s="42"/>
      <c r="N136" s="10"/>
    </row>
    <row r="137" spans="2:14" ht="118.5" customHeight="1" x14ac:dyDescent="0.25">
      <c r="B137" s="76"/>
      <c r="C137" s="72"/>
      <c r="D137" s="63"/>
      <c r="E137" s="66"/>
      <c r="F137" s="2" t="s">
        <v>12</v>
      </c>
      <c r="G137" s="4" t="s">
        <v>157</v>
      </c>
      <c r="H137" s="5" t="s">
        <v>352</v>
      </c>
      <c r="I137" s="4" t="s">
        <v>602</v>
      </c>
      <c r="J137" s="5">
        <v>1</v>
      </c>
      <c r="K137" s="4"/>
      <c r="L137" s="4"/>
      <c r="M137" s="42"/>
      <c r="N137" s="11"/>
    </row>
    <row r="138" spans="2:14" ht="117.75" customHeight="1" x14ac:dyDescent="0.25">
      <c r="B138" s="76"/>
      <c r="C138" s="72"/>
      <c r="D138" s="61">
        <v>21</v>
      </c>
      <c r="E138" s="64" t="s">
        <v>158</v>
      </c>
      <c r="F138" s="2" t="s">
        <v>5</v>
      </c>
      <c r="G138" s="4" t="s">
        <v>159</v>
      </c>
      <c r="H138" s="5">
        <v>1</v>
      </c>
      <c r="I138" s="4" t="s">
        <v>441</v>
      </c>
      <c r="J138" s="5">
        <v>1</v>
      </c>
      <c r="K138" s="4"/>
      <c r="L138" s="4"/>
      <c r="M138" s="42"/>
      <c r="N138" s="9"/>
    </row>
    <row r="139" spans="2:14" ht="148.5" customHeight="1" x14ac:dyDescent="0.25">
      <c r="B139" s="76"/>
      <c r="C139" s="72"/>
      <c r="D139" s="62"/>
      <c r="E139" s="65"/>
      <c r="F139" s="2" t="s">
        <v>7</v>
      </c>
      <c r="G139" s="4" t="s">
        <v>160</v>
      </c>
      <c r="H139" s="5" t="s">
        <v>322</v>
      </c>
      <c r="I139" s="4" t="s">
        <v>440</v>
      </c>
      <c r="J139" s="5">
        <v>1</v>
      </c>
      <c r="K139" s="4"/>
      <c r="L139" s="4"/>
      <c r="M139" s="42"/>
      <c r="N139" s="10"/>
    </row>
    <row r="140" spans="2:14" ht="148.5" customHeight="1" x14ac:dyDescent="0.25">
      <c r="B140" s="76"/>
      <c r="C140" s="72"/>
      <c r="D140" s="62"/>
      <c r="E140" s="65"/>
      <c r="F140" s="2" t="s">
        <v>9</v>
      </c>
      <c r="G140" s="4" t="s">
        <v>603</v>
      </c>
      <c r="H140" s="5">
        <v>1</v>
      </c>
      <c r="I140" s="4" t="s">
        <v>604</v>
      </c>
      <c r="J140" s="5">
        <v>1</v>
      </c>
      <c r="K140" s="4"/>
      <c r="L140" s="4"/>
      <c r="M140" s="42"/>
      <c r="N140" s="10"/>
    </row>
    <row r="141" spans="2:14" ht="143.25" customHeight="1" x14ac:dyDescent="0.25">
      <c r="B141" s="76"/>
      <c r="C141" s="72"/>
      <c r="D141" s="62"/>
      <c r="E141" s="65"/>
      <c r="F141" s="2" t="s">
        <v>10</v>
      </c>
      <c r="G141" s="4" t="s">
        <v>161</v>
      </c>
      <c r="H141" s="5" t="s">
        <v>352</v>
      </c>
      <c r="I141" s="4" t="s">
        <v>438</v>
      </c>
      <c r="J141" s="5">
        <v>1</v>
      </c>
      <c r="K141" s="4"/>
      <c r="L141" s="4"/>
      <c r="M141" s="42"/>
      <c r="N141" s="10"/>
    </row>
    <row r="142" spans="2:14" ht="105.75" customHeight="1" x14ac:dyDescent="0.25">
      <c r="B142" s="76"/>
      <c r="C142" s="72"/>
      <c r="D142" s="62"/>
      <c r="E142" s="65"/>
      <c r="F142" s="2" t="s">
        <v>12</v>
      </c>
      <c r="G142" s="4" t="s">
        <v>500</v>
      </c>
      <c r="H142" s="5">
        <v>1</v>
      </c>
      <c r="I142" s="4" t="s">
        <v>439</v>
      </c>
      <c r="J142" s="5">
        <v>1</v>
      </c>
      <c r="K142" s="4"/>
      <c r="L142" s="4"/>
      <c r="M142" s="42"/>
      <c r="N142" s="10"/>
    </row>
    <row r="143" spans="2:14" ht="342" customHeight="1" x14ac:dyDescent="0.25">
      <c r="B143" s="76"/>
      <c r="C143" s="72"/>
      <c r="D143" s="62"/>
      <c r="E143" s="65"/>
      <c r="F143" s="2" t="s">
        <v>13</v>
      </c>
      <c r="G143" s="4" t="s">
        <v>605</v>
      </c>
      <c r="H143" s="5" t="s">
        <v>607</v>
      </c>
      <c r="I143" s="4" t="s">
        <v>606</v>
      </c>
      <c r="J143" s="5">
        <v>1</v>
      </c>
      <c r="K143" s="4"/>
      <c r="L143" s="4"/>
      <c r="M143" s="42"/>
      <c r="N143" s="11"/>
    </row>
    <row r="144" spans="2:14" ht="409.5" customHeight="1" x14ac:dyDescent="0.25">
      <c r="B144" s="76"/>
      <c r="C144" s="72"/>
      <c r="D144" s="61">
        <v>22</v>
      </c>
      <c r="E144" s="64" t="s">
        <v>162</v>
      </c>
      <c r="F144" s="2" t="s">
        <v>5</v>
      </c>
      <c r="G144" s="4" t="s">
        <v>163</v>
      </c>
      <c r="H144" s="5">
        <v>1</v>
      </c>
      <c r="I144" s="4" t="s">
        <v>442</v>
      </c>
      <c r="J144" s="5" t="s">
        <v>319</v>
      </c>
      <c r="K144" s="4"/>
      <c r="L144" s="4"/>
      <c r="M144" s="42"/>
      <c r="N144" s="9"/>
    </row>
    <row r="145" spans="2:14" ht="408.75" customHeight="1" x14ac:dyDescent="0.25">
      <c r="B145" s="76"/>
      <c r="C145" s="72"/>
      <c r="D145" s="62"/>
      <c r="E145" s="65"/>
      <c r="F145" s="2" t="s">
        <v>7</v>
      </c>
      <c r="G145" s="4" t="s">
        <v>164</v>
      </c>
      <c r="H145" s="5" t="s">
        <v>343</v>
      </c>
      <c r="I145" s="4" t="s">
        <v>443</v>
      </c>
      <c r="J145" s="5">
        <v>1</v>
      </c>
      <c r="K145" s="4"/>
      <c r="L145" s="4"/>
      <c r="M145" s="42"/>
      <c r="N145" s="10"/>
    </row>
    <row r="146" spans="2:14" ht="150.75" customHeight="1" x14ac:dyDescent="0.25">
      <c r="B146" s="76"/>
      <c r="C146" s="72"/>
      <c r="D146" s="62"/>
      <c r="E146" s="65"/>
      <c r="F146" s="2" t="s">
        <v>9</v>
      </c>
      <c r="G146" s="4" t="s">
        <v>169</v>
      </c>
      <c r="H146" s="5" t="s">
        <v>343</v>
      </c>
      <c r="I146" s="4" t="s">
        <v>444</v>
      </c>
      <c r="J146" s="5">
        <v>1</v>
      </c>
      <c r="K146" s="4"/>
      <c r="L146" s="4"/>
      <c r="M146" s="42"/>
      <c r="N146" s="10"/>
    </row>
    <row r="147" spans="2:14" ht="285" x14ac:dyDescent="0.25">
      <c r="B147" s="76"/>
      <c r="C147" s="72"/>
      <c r="D147" s="62"/>
      <c r="E147" s="65"/>
      <c r="F147" s="2" t="s">
        <v>10</v>
      </c>
      <c r="G147" s="4" t="s">
        <v>165</v>
      </c>
      <c r="H147" s="5">
        <v>1</v>
      </c>
      <c r="I147" s="4" t="s">
        <v>740</v>
      </c>
      <c r="J147" s="5">
        <v>1</v>
      </c>
      <c r="K147" s="4"/>
      <c r="L147" s="4"/>
      <c r="M147" s="42"/>
      <c r="N147" s="10"/>
    </row>
    <row r="148" spans="2:14" ht="84" customHeight="1" x14ac:dyDescent="0.25">
      <c r="B148" s="76"/>
      <c r="C148" s="72"/>
      <c r="D148" s="62"/>
      <c r="E148" s="65"/>
      <c r="F148" s="2" t="s">
        <v>12</v>
      </c>
      <c r="G148" s="4" t="s">
        <v>166</v>
      </c>
      <c r="H148" s="5">
        <v>1</v>
      </c>
      <c r="I148" s="4" t="s">
        <v>445</v>
      </c>
      <c r="J148" s="5">
        <v>1</v>
      </c>
      <c r="K148" s="4"/>
      <c r="L148" s="4"/>
      <c r="M148" s="42"/>
      <c r="N148" s="10"/>
    </row>
    <row r="149" spans="2:14" ht="192.75" customHeight="1" x14ac:dyDescent="0.25">
      <c r="B149" s="76"/>
      <c r="C149" s="72"/>
      <c r="D149" s="62"/>
      <c r="E149" s="65"/>
      <c r="F149" s="2" t="s">
        <v>13</v>
      </c>
      <c r="G149" s="4" t="s">
        <v>608</v>
      </c>
      <c r="H149" s="5" t="s">
        <v>319</v>
      </c>
      <c r="I149" s="4" t="s">
        <v>609</v>
      </c>
      <c r="J149" s="5">
        <v>1</v>
      </c>
      <c r="K149" s="4"/>
      <c r="L149" s="4"/>
      <c r="M149" s="42"/>
      <c r="N149" s="11"/>
    </row>
    <row r="150" spans="2:14" ht="324" customHeight="1" x14ac:dyDescent="0.25">
      <c r="B150" s="76"/>
      <c r="C150" s="72"/>
      <c r="D150" s="61">
        <v>23</v>
      </c>
      <c r="E150" s="64" t="s">
        <v>167</v>
      </c>
      <c r="F150" s="2" t="s">
        <v>5</v>
      </c>
      <c r="G150" s="4" t="s">
        <v>168</v>
      </c>
      <c r="H150" s="5" t="s">
        <v>318</v>
      </c>
      <c r="I150" s="4" t="s">
        <v>446</v>
      </c>
      <c r="J150" s="5">
        <v>1</v>
      </c>
      <c r="K150" s="4"/>
      <c r="L150" s="4"/>
      <c r="M150" s="42"/>
      <c r="N150" s="9"/>
    </row>
    <row r="151" spans="2:14" ht="156.75" customHeight="1" x14ac:dyDescent="0.25">
      <c r="B151" s="76"/>
      <c r="C151" s="72"/>
      <c r="D151" s="62"/>
      <c r="E151" s="65"/>
      <c r="F151" s="2" t="s">
        <v>7</v>
      </c>
      <c r="G151" s="4" t="s">
        <v>170</v>
      </c>
      <c r="H151" s="5">
        <v>1</v>
      </c>
      <c r="I151" s="4" t="s">
        <v>447</v>
      </c>
      <c r="J151" s="5">
        <v>1</v>
      </c>
      <c r="K151" s="4"/>
      <c r="L151" s="4"/>
      <c r="M151" s="42"/>
      <c r="N151" s="10"/>
    </row>
    <row r="152" spans="2:14" ht="111.75" customHeight="1" x14ac:dyDescent="0.25">
      <c r="B152" s="76"/>
      <c r="C152" s="72"/>
      <c r="D152" s="63"/>
      <c r="E152" s="66"/>
      <c r="F152" s="2" t="s">
        <v>9</v>
      </c>
      <c r="G152" s="4" t="s">
        <v>171</v>
      </c>
      <c r="H152" s="5">
        <v>1</v>
      </c>
      <c r="I152" s="4" t="s">
        <v>448</v>
      </c>
      <c r="J152" s="5">
        <v>1</v>
      </c>
      <c r="K152" s="4"/>
      <c r="L152" s="4"/>
      <c r="M152" s="42"/>
      <c r="N152" s="11"/>
    </row>
    <row r="153" spans="2:14" ht="359.25" customHeight="1" x14ac:dyDescent="0.25">
      <c r="B153" s="76"/>
      <c r="C153" s="72"/>
      <c r="D153" s="61">
        <v>24</v>
      </c>
      <c r="E153" s="64" t="s">
        <v>172</v>
      </c>
      <c r="F153" s="2" t="s">
        <v>5</v>
      </c>
      <c r="G153" s="4" t="s">
        <v>173</v>
      </c>
      <c r="H153" s="5">
        <v>1</v>
      </c>
      <c r="I153" s="4" t="s">
        <v>449</v>
      </c>
      <c r="J153" s="5">
        <v>1</v>
      </c>
      <c r="K153" s="4"/>
      <c r="L153" s="4"/>
      <c r="M153" s="42"/>
      <c r="N153" s="9"/>
    </row>
    <row r="154" spans="2:14" ht="226.5" customHeight="1" x14ac:dyDescent="0.25">
      <c r="B154" s="76"/>
      <c r="C154" s="72"/>
      <c r="D154" s="62"/>
      <c r="E154" s="65"/>
      <c r="F154" s="2" t="s">
        <v>7</v>
      </c>
      <c r="G154" s="4" t="s">
        <v>174</v>
      </c>
      <c r="H154" s="5">
        <v>1</v>
      </c>
      <c r="I154" s="4" t="s">
        <v>449</v>
      </c>
      <c r="J154" s="5">
        <v>1</v>
      </c>
      <c r="K154" s="4"/>
      <c r="L154" s="4"/>
      <c r="M154" s="42"/>
      <c r="N154" s="10"/>
    </row>
    <row r="155" spans="2:14" ht="87.75" customHeight="1" x14ac:dyDescent="0.25">
      <c r="B155" s="76"/>
      <c r="C155" s="72"/>
      <c r="D155" s="62"/>
      <c r="E155" s="65"/>
      <c r="F155" s="2" t="s">
        <v>9</v>
      </c>
      <c r="G155" s="4" t="s">
        <v>175</v>
      </c>
      <c r="H155" s="5">
        <v>1</v>
      </c>
      <c r="I155" s="4" t="s">
        <v>450</v>
      </c>
      <c r="J155" s="5">
        <v>1</v>
      </c>
      <c r="K155" s="4"/>
      <c r="L155" s="4"/>
      <c r="M155" s="42"/>
      <c r="N155" s="10"/>
    </row>
    <row r="156" spans="2:14" ht="166.5" customHeight="1" x14ac:dyDescent="0.25">
      <c r="B156" s="76"/>
      <c r="C156" s="72"/>
      <c r="D156" s="62"/>
      <c r="E156" s="65"/>
      <c r="F156" s="2" t="s">
        <v>10</v>
      </c>
      <c r="G156" s="4" t="s">
        <v>176</v>
      </c>
      <c r="H156" s="5" t="s">
        <v>322</v>
      </c>
      <c r="I156" s="4" t="s">
        <v>452</v>
      </c>
      <c r="J156" s="5">
        <v>1</v>
      </c>
      <c r="K156" s="4"/>
      <c r="L156" s="4"/>
      <c r="M156" s="42"/>
      <c r="N156" s="10"/>
    </row>
    <row r="157" spans="2:14" ht="117.75" customHeight="1" x14ac:dyDescent="0.25">
      <c r="B157" s="76"/>
      <c r="C157" s="72"/>
      <c r="D157" s="62"/>
      <c r="E157" s="65"/>
      <c r="F157" s="2" t="s">
        <v>12</v>
      </c>
      <c r="G157" s="4" t="s">
        <v>177</v>
      </c>
      <c r="H157" s="5" t="s">
        <v>319</v>
      </c>
      <c r="I157" s="4" t="s">
        <v>453</v>
      </c>
      <c r="J157" s="5">
        <v>1</v>
      </c>
      <c r="K157" s="4"/>
      <c r="L157" s="4"/>
      <c r="M157" s="42"/>
      <c r="N157" s="10"/>
    </row>
    <row r="158" spans="2:14" ht="359.25" customHeight="1" x14ac:dyDescent="0.25">
      <c r="B158" s="76"/>
      <c r="C158" s="72"/>
      <c r="D158" s="63"/>
      <c r="E158" s="66"/>
      <c r="F158" s="2" t="s">
        <v>13</v>
      </c>
      <c r="G158" s="4" t="s">
        <v>178</v>
      </c>
      <c r="H158" s="5">
        <v>1</v>
      </c>
      <c r="I158" s="4" t="s">
        <v>451</v>
      </c>
      <c r="J158" s="5">
        <v>1</v>
      </c>
      <c r="K158" s="4"/>
      <c r="L158" s="4"/>
      <c r="M158" s="42"/>
      <c r="N158" s="11"/>
    </row>
    <row r="159" spans="2:14" ht="186.75" customHeight="1" x14ac:dyDescent="0.25">
      <c r="B159" s="76"/>
      <c r="C159" s="72"/>
      <c r="D159" s="61">
        <v>25</v>
      </c>
      <c r="E159" s="64" t="s">
        <v>179</v>
      </c>
      <c r="F159" s="2" t="s">
        <v>5</v>
      </c>
      <c r="G159" s="4" t="s">
        <v>180</v>
      </c>
      <c r="H159" s="5">
        <v>1</v>
      </c>
      <c r="I159" s="4" t="s">
        <v>454</v>
      </c>
      <c r="J159" s="5">
        <v>1</v>
      </c>
      <c r="K159" s="4"/>
      <c r="L159" s="4"/>
      <c r="M159" s="42"/>
      <c r="N159" s="9"/>
    </row>
    <row r="160" spans="2:14" ht="265.5" customHeight="1" x14ac:dyDescent="0.25">
      <c r="B160" s="76"/>
      <c r="C160" s="72"/>
      <c r="D160" s="62"/>
      <c r="E160" s="65"/>
      <c r="F160" s="2" t="s">
        <v>7</v>
      </c>
      <c r="G160" s="4" t="s">
        <v>181</v>
      </c>
      <c r="H160" s="5">
        <v>1</v>
      </c>
      <c r="I160" s="4" t="s">
        <v>455</v>
      </c>
      <c r="J160" s="5">
        <v>1</v>
      </c>
      <c r="K160" s="4"/>
      <c r="L160" s="4"/>
      <c r="M160" s="42"/>
      <c r="N160" s="10"/>
    </row>
    <row r="161" spans="2:14" ht="186" customHeight="1" x14ac:dyDescent="0.25">
      <c r="B161" s="76"/>
      <c r="C161" s="72"/>
      <c r="D161" s="62"/>
      <c r="E161" s="65"/>
      <c r="F161" s="2" t="s">
        <v>9</v>
      </c>
      <c r="G161" s="4" t="s">
        <v>182</v>
      </c>
      <c r="H161" s="5" t="s">
        <v>319</v>
      </c>
      <c r="I161" s="4" t="s">
        <v>461</v>
      </c>
      <c r="J161" s="5">
        <v>1</v>
      </c>
      <c r="K161" s="4"/>
      <c r="L161" s="4"/>
      <c r="M161" s="42"/>
      <c r="N161" s="10"/>
    </row>
    <row r="162" spans="2:14" ht="247.5" customHeight="1" x14ac:dyDescent="0.25">
      <c r="B162" s="76"/>
      <c r="C162" s="72"/>
      <c r="D162" s="62"/>
      <c r="E162" s="65"/>
      <c r="F162" s="2" t="s">
        <v>10</v>
      </c>
      <c r="G162" s="4" t="s">
        <v>456</v>
      </c>
      <c r="H162" s="5">
        <v>1</v>
      </c>
      <c r="I162" s="4" t="s">
        <v>457</v>
      </c>
      <c r="J162" s="5">
        <v>1</v>
      </c>
      <c r="K162" s="4"/>
      <c r="L162" s="41"/>
      <c r="M162" s="42"/>
      <c r="N162" s="10"/>
    </row>
    <row r="163" spans="2:14" ht="118.5" customHeight="1" x14ac:dyDescent="0.25">
      <c r="B163" s="76"/>
      <c r="C163" s="72"/>
      <c r="D163" s="62"/>
      <c r="E163" s="65"/>
      <c r="F163" s="2" t="s">
        <v>12</v>
      </c>
      <c r="G163" s="4" t="s">
        <v>628</v>
      </c>
      <c r="H163" s="5" t="s">
        <v>318</v>
      </c>
      <c r="I163" s="4" t="s">
        <v>458</v>
      </c>
      <c r="J163" s="5">
        <v>1</v>
      </c>
      <c r="K163" s="4"/>
      <c r="L163" s="41"/>
      <c r="M163" s="42"/>
      <c r="N163" s="10"/>
    </row>
    <row r="164" spans="2:14" ht="111" customHeight="1" x14ac:dyDescent="0.25">
      <c r="B164" s="76"/>
      <c r="C164" s="72"/>
      <c r="D164" s="62"/>
      <c r="E164" s="65"/>
      <c r="F164" s="2" t="s">
        <v>13</v>
      </c>
      <c r="G164" s="4" t="s">
        <v>183</v>
      </c>
      <c r="H164" s="5" t="s">
        <v>352</v>
      </c>
      <c r="I164" s="4" t="s">
        <v>460</v>
      </c>
      <c r="J164" s="5">
        <v>1</v>
      </c>
      <c r="K164" s="4"/>
      <c r="L164" s="41"/>
      <c r="M164" s="42"/>
      <c r="N164" s="10"/>
    </row>
    <row r="165" spans="2:14" ht="120" customHeight="1" x14ac:dyDescent="0.25">
      <c r="B165" s="76"/>
      <c r="C165" s="72"/>
      <c r="D165" s="62"/>
      <c r="E165" s="65"/>
      <c r="F165" s="2" t="s">
        <v>14</v>
      </c>
      <c r="G165" s="4" t="s">
        <v>184</v>
      </c>
      <c r="H165" s="5" t="s">
        <v>352</v>
      </c>
      <c r="I165" s="4" t="s">
        <v>459</v>
      </c>
      <c r="J165" s="5">
        <v>1</v>
      </c>
      <c r="K165" s="4"/>
      <c r="L165" s="41"/>
      <c r="M165" s="42"/>
      <c r="N165" s="10"/>
    </row>
    <row r="166" spans="2:14" ht="381" customHeight="1" x14ac:dyDescent="0.25">
      <c r="B166" s="76"/>
      <c r="C166" s="72"/>
      <c r="D166" s="62"/>
      <c r="E166" s="65"/>
      <c r="F166" s="2" t="s">
        <v>35</v>
      </c>
      <c r="G166" s="4" t="s">
        <v>631</v>
      </c>
      <c r="H166" s="5" t="s">
        <v>462</v>
      </c>
      <c r="I166" s="4" t="s">
        <v>629</v>
      </c>
      <c r="J166" s="5" t="s">
        <v>355</v>
      </c>
      <c r="K166" s="4"/>
      <c r="L166" s="41"/>
      <c r="M166" s="42"/>
      <c r="N166" s="10"/>
    </row>
    <row r="167" spans="2:14" ht="114.75" customHeight="1" x14ac:dyDescent="0.25">
      <c r="B167" s="76"/>
      <c r="C167" s="72"/>
      <c r="D167" s="63"/>
      <c r="E167" s="66"/>
      <c r="F167" s="2" t="s">
        <v>36</v>
      </c>
      <c r="G167" s="4" t="s">
        <v>185</v>
      </c>
      <c r="H167" s="5">
        <v>1</v>
      </c>
      <c r="I167" s="4" t="s">
        <v>463</v>
      </c>
      <c r="J167" s="5">
        <v>1</v>
      </c>
      <c r="K167" s="4"/>
      <c r="L167" s="41"/>
      <c r="M167" s="42"/>
      <c r="N167" s="11"/>
    </row>
    <row r="168" spans="2:14" ht="102" customHeight="1" x14ac:dyDescent="0.25">
      <c r="B168" s="76"/>
      <c r="C168" s="72"/>
      <c r="D168" s="61">
        <v>26</v>
      </c>
      <c r="E168" s="64" t="s">
        <v>186</v>
      </c>
      <c r="F168" s="2" t="s">
        <v>5</v>
      </c>
      <c r="G168" s="4" t="s">
        <v>187</v>
      </c>
      <c r="H168" s="5">
        <v>1</v>
      </c>
      <c r="I168" s="4" t="s">
        <v>464</v>
      </c>
      <c r="J168" s="5">
        <v>1</v>
      </c>
      <c r="K168" s="4"/>
      <c r="L168" s="41"/>
      <c r="M168" s="42"/>
      <c r="N168" s="9"/>
    </row>
    <row r="169" spans="2:14" ht="116.25" customHeight="1" x14ac:dyDescent="0.25">
      <c r="B169" s="76"/>
      <c r="C169" s="72"/>
      <c r="D169" s="62"/>
      <c r="E169" s="65"/>
      <c r="F169" s="2" t="s">
        <v>7</v>
      </c>
      <c r="G169" s="4" t="s">
        <v>188</v>
      </c>
      <c r="H169" s="5" t="s">
        <v>352</v>
      </c>
      <c r="I169" s="4" t="s">
        <v>459</v>
      </c>
      <c r="J169" s="5">
        <v>1</v>
      </c>
      <c r="K169" s="4"/>
      <c r="L169" s="41"/>
      <c r="M169" s="42"/>
      <c r="N169" s="10"/>
    </row>
    <row r="170" spans="2:14" ht="85.5" customHeight="1" x14ac:dyDescent="0.25">
      <c r="B170" s="77"/>
      <c r="C170" s="73"/>
      <c r="D170" s="63"/>
      <c r="E170" s="66"/>
      <c r="F170" s="2" t="s">
        <v>9</v>
      </c>
      <c r="G170" s="4" t="s">
        <v>465</v>
      </c>
      <c r="H170" s="5">
        <v>1</v>
      </c>
      <c r="I170" s="4" t="s">
        <v>466</v>
      </c>
      <c r="J170" s="5">
        <v>1</v>
      </c>
      <c r="K170" s="4"/>
      <c r="L170" s="41"/>
      <c r="M170" s="42"/>
      <c r="N170" s="11"/>
    </row>
    <row r="171" spans="2:14" ht="175.5" customHeight="1" x14ac:dyDescent="0.25">
      <c r="B171" s="75">
        <v>7</v>
      </c>
      <c r="C171" s="67" t="s">
        <v>189</v>
      </c>
      <c r="D171" s="61">
        <v>27</v>
      </c>
      <c r="E171" s="64" t="s">
        <v>190</v>
      </c>
      <c r="F171" s="2" t="s">
        <v>5</v>
      </c>
      <c r="G171" s="4" t="s">
        <v>193</v>
      </c>
      <c r="H171" s="5">
        <v>1</v>
      </c>
      <c r="I171" s="4" t="s">
        <v>469</v>
      </c>
      <c r="J171" s="5">
        <v>1</v>
      </c>
      <c r="K171" s="4"/>
      <c r="L171" s="41"/>
      <c r="M171" s="42"/>
      <c r="N171" s="9"/>
    </row>
    <row r="172" spans="2:14" ht="279.75" customHeight="1" x14ac:dyDescent="0.25">
      <c r="B172" s="76"/>
      <c r="C172" s="68"/>
      <c r="D172" s="62"/>
      <c r="E172" s="65"/>
      <c r="F172" s="2" t="s">
        <v>7</v>
      </c>
      <c r="G172" s="4" t="s">
        <v>192</v>
      </c>
      <c r="H172" s="5" t="s">
        <v>352</v>
      </c>
      <c r="I172" s="4" t="s">
        <v>470</v>
      </c>
      <c r="J172" s="5">
        <v>1</v>
      </c>
      <c r="K172" s="4"/>
      <c r="L172" s="41"/>
      <c r="M172" s="42"/>
      <c r="N172" s="10"/>
    </row>
    <row r="173" spans="2:14" ht="188.25" customHeight="1" x14ac:dyDescent="0.25">
      <c r="B173" s="76"/>
      <c r="C173" s="68"/>
      <c r="D173" s="62"/>
      <c r="E173" s="65"/>
      <c r="F173" s="2" t="s">
        <v>9</v>
      </c>
      <c r="G173" s="4" t="s">
        <v>191</v>
      </c>
      <c r="H173" s="5" t="s">
        <v>471</v>
      </c>
      <c r="I173" s="4" t="s">
        <v>472</v>
      </c>
      <c r="J173" s="5">
        <v>1</v>
      </c>
      <c r="K173" s="4"/>
      <c r="L173" s="41"/>
      <c r="M173" s="42"/>
      <c r="N173" s="10"/>
    </row>
    <row r="174" spans="2:14" ht="102" customHeight="1" x14ac:dyDescent="0.25">
      <c r="B174" s="76"/>
      <c r="C174" s="68"/>
      <c r="D174" s="62"/>
      <c r="E174" s="65"/>
      <c r="F174" s="2" t="s">
        <v>10</v>
      </c>
      <c r="G174" s="4" t="s">
        <v>194</v>
      </c>
      <c r="H174" s="5">
        <v>1</v>
      </c>
      <c r="I174" s="4" t="s">
        <v>630</v>
      </c>
      <c r="J174" s="5">
        <v>1</v>
      </c>
      <c r="K174" s="4"/>
      <c r="L174" s="41"/>
      <c r="M174" s="42"/>
      <c r="N174" s="10"/>
    </row>
    <row r="175" spans="2:14" ht="91.5" customHeight="1" x14ac:dyDescent="0.25">
      <c r="B175" s="76"/>
      <c r="C175" s="68"/>
      <c r="D175" s="62"/>
      <c r="E175" s="65"/>
      <c r="F175" s="2" t="s">
        <v>12</v>
      </c>
      <c r="G175" s="4" t="s">
        <v>195</v>
      </c>
      <c r="H175" s="5">
        <v>1</v>
      </c>
      <c r="I175" s="4" t="s">
        <v>473</v>
      </c>
      <c r="J175" s="5">
        <v>1</v>
      </c>
      <c r="K175" s="4"/>
      <c r="L175" s="41"/>
      <c r="M175" s="42"/>
      <c r="N175" s="10"/>
    </row>
    <row r="176" spans="2:14" ht="231" customHeight="1" x14ac:dyDescent="0.25">
      <c r="B176" s="76"/>
      <c r="C176" s="68"/>
      <c r="D176" s="62"/>
      <c r="E176" s="65"/>
      <c r="F176" s="2" t="s">
        <v>13</v>
      </c>
      <c r="G176" s="4" t="s">
        <v>196</v>
      </c>
      <c r="H176" s="5" t="s">
        <v>474</v>
      </c>
      <c r="I176" s="4" t="s">
        <v>475</v>
      </c>
      <c r="J176" s="5">
        <v>1</v>
      </c>
      <c r="K176" s="4"/>
      <c r="L176" s="41"/>
      <c r="M176" s="42"/>
      <c r="N176" s="10"/>
    </row>
    <row r="177" spans="2:14" ht="75.75" customHeight="1" x14ac:dyDescent="0.25">
      <c r="B177" s="76"/>
      <c r="C177" s="68"/>
      <c r="D177" s="62"/>
      <c r="E177" s="65"/>
      <c r="F177" s="2" t="s">
        <v>14</v>
      </c>
      <c r="G177" s="4" t="s">
        <v>197</v>
      </c>
      <c r="H177" s="5">
        <v>1</v>
      </c>
      <c r="I177" s="4" t="s">
        <v>476</v>
      </c>
      <c r="J177" s="5">
        <v>1</v>
      </c>
      <c r="K177" s="4"/>
      <c r="L177" s="41"/>
      <c r="M177" s="42"/>
      <c r="N177" s="10"/>
    </row>
    <row r="178" spans="2:14" ht="237" customHeight="1" x14ac:dyDescent="0.25">
      <c r="B178" s="76"/>
      <c r="C178" s="68"/>
      <c r="D178" s="63"/>
      <c r="E178" s="66"/>
      <c r="F178" s="2" t="s">
        <v>35</v>
      </c>
      <c r="G178" s="4" t="s">
        <v>198</v>
      </c>
      <c r="H178" s="5" t="s">
        <v>321</v>
      </c>
      <c r="I178" s="4" t="s">
        <v>479</v>
      </c>
      <c r="J178" s="5">
        <v>1</v>
      </c>
      <c r="K178" s="4"/>
      <c r="L178" s="41"/>
      <c r="M178" s="42"/>
      <c r="N178" s="11"/>
    </row>
    <row r="179" spans="2:14" ht="254.25" customHeight="1" x14ac:dyDescent="0.25">
      <c r="B179" s="76"/>
      <c r="C179" s="68"/>
      <c r="D179" s="61">
        <v>28</v>
      </c>
      <c r="E179" s="64" t="s">
        <v>199</v>
      </c>
      <c r="F179" s="2" t="s">
        <v>5</v>
      </c>
      <c r="G179" s="4" t="s">
        <v>200</v>
      </c>
      <c r="H179" s="5" t="s">
        <v>477</v>
      </c>
      <c r="I179" s="4" t="s">
        <v>478</v>
      </c>
      <c r="J179" s="5" t="s">
        <v>367</v>
      </c>
      <c r="K179" s="4"/>
      <c r="L179" s="41"/>
      <c r="M179" s="42"/>
      <c r="N179" s="9"/>
    </row>
    <row r="180" spans="2:14" ht="124.5" customHeight="1" x14ac:dyDescent="0.25">
      <c r="B180" s="76"/>
      <c r="C180" s="68"/>
      <c r="D180" s="62"/>
      <c r="E180" s="65"/>
      <c r="F180" s="2" t="s">
        <v>7</v>
      </c>
      <c r="G180" s="4" t="s">
        <v>201</v>
      </c>
      <c r="H180" s="5">
        <v>1</v>
      </c>
      <c r="I180" s="4" t="s">
        <v>480</v>
      </c>
      <c r="J180" s="5">
        <v>1</v>
      </c>
      <c r="K180" s="4"/>
      <c r="L180" s="41"/>
      <c r="M180" s="42"/>
      <c r="N180" s="12"/>
    </row>
    <row r="181" spans="2:14" ht="288.75" customHeight="1" x14ac:dyDescent="0.25">
      <c r="B181" s="76"/>
      <c r="C181" s="68"/>
      <c r="D181" s="62"/>
      <c r="E181" s="65"/>
      <c r="F181" s="2" t="s">
        <v>9</v>
      </c>
      <c r="G181" s="4" t="s">
        <v>202</v>
      </c>
      <c r="H181" s="5">
        <v>1</v>
      </c>
      <c r="I181" s="4" t="s">
        <v>481</v>
      </c>
      <c r="J181" s="5">
        <v>1</v>
      </c>
      <c r="K181" s="4"/>
      <c r="L181" s="41"/>
      <c r="M181" s="42"/>
      <c r="N181" s="12"/>
    </row>
    <row r="182" spans="2:14" ht="178.5" customHeight="1" x14ac:dyDescent="0.25">
      <c r="B182" s="76"/>
      <c r="C182" s="68"/>
      <c r="D182" s="62"/>
      <c r="E182" s="65"/>
      <c r="F182" s="2" t="s">
        <v>10</v>
      </c>
      <c r="G182" s="4" t="s">
        <v>203</v>
      </c>
      <c r="H182" s="5" t="s">
        <v>343</v>
      </c>
      <c r="I182" s="4" t="s">
        <v>482</v>
      </c>
      <c r="J182" s="5">
        <v>1</v>
      </c>
      <c r="K182" s="4"/>
      <c r="L182" s="41"/>
      <c r="M182" s="42"/>
      <c r="N182" s="12"/>
    </row>
    <row r="183" spans="2:14" ht="124.5" customHeight="1" x14ac:dyDescent="0.25">
      <c r="B183" s="76"/>
      <c r="C183" s="68"/>
      <c r="D183" s="63"/>
      <c r="E183" s="66"/>
      <c r="F183" s="2" t="s">
        <v>12</v>
      </c>
      <c r="G183" s="4" t="s">
        <v>204</v>
      </c>
      <c r="H183" s="5">
        <v>1</v>
      </c>
      <c r="I183" s="4" t="s">
        <v>483</v>
      </c>
      <c r="J183" s="5">
        <v>1</v>
      </c>
      <c r="K183" s="4"/>
      <c r="L183" s="41"/>
      <c r="M183" s="42"/>
      <c r="N183" s="13"/>
    </row>
    <row r="184" spans="2:14" ht="82.5" customHeight="1" x14ac:dyDescent="0.25">
      <c r="B184" s="76"/>
      <c r="C184" s="68"/>
      <c r="D184" s="61">
        <v>29</v>
      </c>
      <c r="E184" s="64" t="s">
        <v>205</v>
      </c>
      <c r="F184" s="2" t="s">
        <v>5</v>
      </c>
      <c r="G184" s="4" t="s">
        <v>206</v>
      </c>
      <c r="H184" s="5" t="s">
        <v>486</v>
      </c>
      <c r="I184" s="4" t="s">
        <v>485</v>
      </c>
      <c r="J184" s="5"/>
      <c r="K184" s="4"/>
      <c r="L184" s="41"/>
      <c r="M184" s="42"/>
      <c r="N184" s="9"/>
    </row>
    <row r="185" spans="2:14" ht="97.5" customHeight="1" x14ac:dyDescent="0.25">
      <c r="B185" s="76"/>
      <c r="C185" s="68"/>
      <c r="D185" s="62"/>
      <c r="E185" s="65"/>
      <c r="F185" s="2" t="s">
        <v>7</v>
      </c>
      <c r="G185" s="4" t="s">
        <v>484</v>
      </c>
      <c r="H185" s="5" t="s">
        <v>352</v>
      </c>
      <c r="I185" s="4" t="s">
        <v>487</v>
      </c>
      <c r="J185" s="5"/>
      <c r="K185" s="4"/>
      <c r="L185" s="41"/>
      <c r="M185" s="42"/>
      <c r="N185" s="10"/>
    </row>
    <row r="186" spans="2:14" ht="39" customHeight="1" x14ac:dyDescent="0.25">
      <c r="B186" s="76"/>
      <c r="C186" s="68"/>
      <c r="D186" s="62"/>
      <c r="E186" s="65"/>
      <c r="F186" s="2" t="s">
        <v>9</v>
      </c>
      <c r="G186" s="4" t="s">
        <v>207</v>
      </c>
      <c r="H186" s="5">
        <v>1</v>
      </c>
      <c r="I186" s="4" t="s">
        <v>480</v>
      </c>
      <c r="J186" s="5"/>
      <c r="K186" s="4"/>
      <c r="L186" s="41"/>
      <c r="M186" s="42"/>
      <c r="N186" s="10"/>
    </row>
    <row r="187" spans="2:14" ht="233.25" customHeight="1" x14ac:dyDescent="0.25">
      <c r="B187" s="76"/>
      <c r="C187" s="68"/>
      <c r="D187" s="62"/>
      <c r="E187" s="65"/>
      <c r="F187" s="2" t="s">
        <v>10</v>
      </c>
      <c r="G187" s="4" t="s">
        <v>208</v>
      </c>
      <c r="H187" s="5" t="s">
        <v>489</v>
      </c>
      <c r="I187" s="4" t="s">
        <v>488</v>
      </c>
      <c r="J187" s="5"/>
      <c r="K187" s="4"/>
      <c r="L187" s="41"/>
      <c r="M187" s="42"/>
      <c r="N187" s="10"/>
    </row>
    <row r="188" spans="2:14" ht="216.75" customHeight="1" x14ac:dyDescent="0.25">
      <c r="B188" s="76"/>
      <c r="C188" s="68"/>
      <c r="D188" s="62"/>
      <c r="E188" s="65"/>
      <c r="F188" s="2" t="s">
        <v>12</v>
      </c>
      <c r="G188" s="4" t="s">
        <v>209</v>
      </c>
      <c r="H188" s="5" t="s">
        <v>490</v>
      </c>
      <c r="I188" s="4" t="s">
        <v>573</v>
      </c>
      <c r="J188" s="5"/>
      <c r="K188" s="4"/>
      <c r="L188" s="41"/>
      <c r="M188" s="42"/>
      <c r="N188" s="10"/>
    </row>
    <row r="189" spans="2:14" ht="71.25" customHeight="1" x14ac:dyDescent="0.25">
      <c r="B189" s="76"/>
      <c r="C189" s="68"/>
      <c r="D189" s="63"/>
      <c r="E189" s="66"/>
      <c r="F189" s="2" t="s">
        <v>13</v>
      </c>
      <c r="G189" s="4" t="s">
        <v>210</v>
      </c>
      <c r="H189" s="5">
        <v>1</v>
      </c>
      <c r="I189" s="4" t="s">
        <v>491</v>
      </c>
      <c r="J189" s="5"/>
      <c r="K189" s="4"/>
      <c r="L189" s="41"/>
      <c r="M189" s="42"/>
      <c r="N189" s="11"/>
    </row>
    <row r="190" spans="2:14" ht="83.25" customHeight="1" x14ac:dyDescent="0.25">
      <c r="B190" s="76"/>
      <c r="C190" s="68"/>
      <c r="D190" s="61">
        <v>30</v>
      </c>
      <c r="E190" s="64" t="s">
        <v>217</v>
      </c>
      <c r="F190" s="2" t="s">
        <v>5</v>
      </c>
      <c r="G190" s="4" t="s">
        <v>211</v>
      </c>
      <c r="H190" s="5">
        <v>1</v>
      </c>
      <c r="I190" s="4" t="s">
        <v>492</v>
      </c>
      <c r="J190" s="5"/>
      <c r="K190" s="4"/>
      <c r="L190" s="41"/>
      <c r="M190" s="42"/>
      <c r="N190" s="9"/>
    </row>
    <row r="191" spans="2:14" ht="113.25" customHeight="1" x14ac:dyDescent="0.25">
      <c r="B191" s="76"/>
      <c r="C191" s="68"/>
      <c r="D191" s="62"/>
      <c r="E191" s="65"/>
      <c r="F191" s="2" t="s">
        <v>7</v>
      </c>
      <c r="G191" s="4" t="s">
        <v>212</v>
      </c>
      <c r="H191" s="5" t="s">
        <v>343</v>
      </c>
      <c r="I191" s="4" t="s">
        <v>493</v>
      </c>
      <c r="J191" s="5"/>
      <c r="K191" s="4"/>
      <c r="L191" s="41"/>
      <c r="M191" s="42"/>
      <c r="N191" s="10"/>
    </row>
    <row r="192" spans="2:14" ht="83.25" customHeight="1" x14ac:dyDescent="0.25">
      <c r="B192" s="76"/>
      <c r="C192" s="68"/>
      <c r="D192" s="62"/>
      <c r="E192" s="65"/>
      <c r="F192" s="2" t="s">
        <v>9</v>
      </c>
      <c r="G192" s="4" t="s">
        <v>213</v>
      </c>
      <c r="H192" s="5" t="s">
        <v>343</v>
      </c>
      <c r="I192" s="4" t="s">
        <v>571</v>
      </c>
      <c r="J192" s="5"/>
      <c r="K192" s="4"/>
      <c r="L192" s="41"/>
      <c r="M192" s="42"/>
      <c r="N192" s="10"/>
    </row>
    <row r="193" spans="2:14" ht="52.5" customHeight="1" x14ac:dyDescent="0.25">
      <c r="B193" s="77"/>
      <c r="C193" s="74"/>
      <c r="D193" s="63"/>
      <c r="E193" s="66"/>
      <c r="F193" s="2" t="s">
        <v>10</v>
      </c>
      <c r="G193" s="4" t="s">
        <v>214</v>
      </c>
      <c r="H193" s="5">
        <v>1</v>
      </c>
      <c r="I193" s="4" t="s">
        <v>572</v>
      </c>
      <c r="J193" s="5"/>
      <c r="K193" s="4"/>
      <c r="L193" s="41"/>
      <c r="M193" s="42"/>
      <c r="N193" s="11"/>
    </row>
    <row r="194" spans="2:14" ht="55.5" customHeight="1" x14ac:dyDescent="0.25">
      <c r="B194" s="75">
        <v>8</v>
      </c>
      <c r="C194" s="67" t="s">
        <v>215</v>
      </c>
      <c r="D194" s="61">
        <v>31</v>
      </c>
      <c r="E194" s="64" t="s">
        <v>216</v>
      </c>
      <c r="F194" s="2" t="s">
        <v>5</v>
      </c>
      <c r="G194" s="4" t="s">
        <v>218</v>
      </c>
      <c r="H194" s="5">
        <v>1</v>
      </c>
      <c r="I194" s="4" t="s">
        <v>505</v>
      </c>
      <c r="J194" s="5"/>
      <c r="K194" s="4"/>
      <c r="L194" s="41"/>
      <c r="M194" s="42"/>
      <c r="N194" s="9"/>
    </row>
    <row r="195" spans="2:14" ht="294.75" customHeight="1" x14ac:dyDescent="0.25">
      <c r="B195" s="76"/>
      <c r="C195" s="68"/>
      <c r="D195" s="62"/>
      <c r="E195" s="65"/>
      <c r="F195" s="2" t="s">
        <v>7</v>
      </c>
      <c r="G195" s="4" t="s">
        <v>612</v>
      </c>
      <c r="H195" s="5" t="s">
        <v>614</v>
      </c>
      <c r="I195" s="4" t="s">
        <v>613</v>
      </c>
      <c r="J195" s="5"/>
      <c r="K195" s="4"/>
      <c r="L195" s="41"/>
      <c r="M195" s="42"/>
      <c r="N195" s="10"/>
    </row>
    <row r="196" spans="2:14" ht="56.25" customHeight="1" x14ac:dyDescent="0.25">
      <c r="B196" s="76"/>
      <c r="C196" s="68"/>
      <c r="D196" s="62"/>
      <c r="E196" s="65"/>
      <c r="F196" s="2" t="s">
        <v>9</v>
      </c>
      <c r="G196" s="4" t="s">
        <v>610</v>
      </c>
      <c r="H196" s="5">
        <v>1</v>
      </c>
      <c r="I196" s="4" t="s">
        <v>611</v>
      </c>
      <c r="J196" s="5"/>
      <c r="K196" s="4"/>
      <c r="L196" s="41"/>
      <c r="M196" s="42"/>
      <c r="N196" s="10"/>
    </row>
    <row r="197" spans="2:14" ht="173.25" customHeight="1" x14ac:dyDescent="0.25">
      <c r="B197" s="76"/>
      <c r="C197" s="68"/>
      <c r="D197" s="62"/>
      <c r="E197" s="65"/>
      <c r="F197" s="2" t="s">
        <v>10</v>
      </c>
      <c r="G197" s="4" t="s">
        <v>219</v>
      </c>
      <c r="H197" s="5" t="s">
        <v>343</v>
      </c>
      <c r="I197" s="4" t="s">
        <v>494</v>
      </c>
      <c r="J197" s="5"/>
      <c r="K197" s="4"/>
      <c r="L197" s="41"/>
      <c r="M197" s="42"/>
      <c r="N197" s="10"/>
    </row>
    <row r="198" spans="2:14" ht="98.25" customHeight="1" x14ac:dyDescent="0.25">
      <c r="B198" s="76"/>
      <c r="C198" s="68"/>
      <c r="D198" s="62"/>
      <c r="E198" s="65"/>
      <c r="F198" s="2" t="s">
        <v>12</v>
      </c>
      <c r="G198" s="4" t="s">
        <v>220</v>
      </c>
      <c r="H198" s="5">
        <v>1</v>
      </c>
      <c r="I198" s="4" t="s">
        <v>506</v>
      </c>
      <c r="J198" s="5"/>
      <c r="K198" s="4"/>
      <c r="L198" s="41"/>
      <c r="M198" s="42"/>
      <c r="N198" s="10"/>
    </row>
    <row r="199" spans="2:14" ht="107.25" customHeight="1" x14ac:dyDescent="0.25">
      <c r="B199" s="76"/>
      <c r="C199" s="68"/>
      <c r="D199" s="62"/>
      <c r="E199" s="65"/>
      <c r="F199" s="2" t="s">
        <v>13</v>
      </c>
      <c r="G199" s="4" t="s">
        <v>221</v>
      </c>
      <c r="H199" s="5" t="s">
        <v>352</v>
      </c>
      <c r="I199" s="4" t="s">
        <v>507</v>
      </c>
      <c r="J199" s="5"/>
      <c r="K199" s="4"/>
      <c r="L199" s="41"/>
      <c r="M199" s="42"/>
      <c r="N199" s="10"/>
    </row>
    <row r="200" spans="2:14" ht="173.25" customHeight="1" x14ac:dyDescent="0.25">
      <c r="B200" s="77"/>
      <c r="C200" s="74"/>
      <c r="D200" s="63"/>
      <c r="E200" s="66"/>
      <c r="F200" s="2" t="s">
        <v>14</v>
      </c>
      <c r="G200" s="4" t="s">
        <v>222</v>
      </c>
      <c r="H200" s="5">
        <v>1</v>
      </c>
      <c r="I200" s="4" t="s">
        <v>495</v>
      </c>
      <c r="J200" s="5"/>
      <c r="K200" s="4"/>
      <c r="L200" s="41"/>
      <c r="M200" s="42"/>
      <c r="N200" s="11"/>
    </row>
    <row r="201" spans="2:14" ht="87.75" customHeight="1" x14ac:dyDescent="0.25">
      <c r="B201" s="75">
        <v>9</v>
      </c>
      <c r="C201" s="67" t="s">
        <v>230</v>
      </c>
      <c r="D201" s="61">
        <v>32</v>
      </c>
      <c r="E201" s="64" t="s">
        <v>223</v>
      </c>
      <c r="F201" s="2" t="s">
        <v>5</v>
      </c>
      <c r="G201" s="4" t="s">
        <v>224</v>
      </c>
      <c r="H201" s="5">
        <v>1</v>
      </c>
      <c r="I201" s="4" t="s">
        <v>496</v>
      </c>
      <c r="J201" s="5"/>
      <c r="K201" s="4"/>
      <c r="L201" s="41"/>
      <c r="M201" s="42"/>
      <c r="N201" s="9"/>
    </row>
    <row r="202" spans="2:14" ht="68.25" customHeight="1" x14ac:dyDescent="0.25">
      <c r="B202" s="76"/>
      <c r="C202" s="68"/>
      <c r="D202" s="62"/>
      <c r="E202" s="65"/>
      <c r="F202" s="2" t="s">
        <v>7</v>
      </c>
      <c r="G202" s="4" t="s">
        <v>225</v>
      </c>
      <c r="H202" s="5">
        <v>1</v>
      </c>
      <c r="I202" s="4" t="s">
        <v>497</v>
      </c>
      <c r="J202" s="5"/>
      <c r="K202" s="4"/>
      <c r="L202" s="41"/>
      <c r="M202" s="42"/>
      <c r="N202" s="10"/>
    </row>
    <row r="203" spans="2:14" ht="108" customHeight="1" x14ac:dyDescent="0.25">
      <c r="B203" s="76"/>
      <c r="C203" s="68"/>
      <c r="D203" s="62"/>
      <c r="E203" s="65"/>
      <c r="F203" s="2" t="s">
        <v>9</v>
      </c>
      <c r="G203" s="4" t="s">
        <v>226</v>
      </c>
      <c r="H203" s="5">
        <v>1</v>
      </c>
      <c r="I203" s="4" t="s">
        <v>441</v>
      </c>
      <c r="J203" s="5"/>
      <c r="K203" s="4"/>
      <c r="L203" s="41"/>
      <c r="M203" s="42"/>
      <c r="N203" s="10"/>
    </row>
    <row r="204" spans="2:14" ht="101.25" customHeight="1" x14ac:dyDescent="0.25">
      <c r="B204" s="76"/>
      <c r="C204" s="68"/>
      <c r="D204" s="62"/>
      <c r="E204" s="65"/>
      <c r="F204" s="2" t="s">
        <v>10</v>
      </c>
      <c r="G204" s="4" t="s">
        <v>498</v>
      </c>
      <c r="H204" s="5" t="s">
        <v>322</v>
      </c>
      <c r="I204" s="4" t="s">
        <v>440</v>
      </c>
      <c r="J204" s="5"/>
      <c r="K204" s="4"/>
      <c r="L204" s="41"/>
      <c r="M204" s="42"/>
      <c r="N204" s="10"/>
    </row>
    <row r="205" spans="2:14" ht="141.75" customHeight="1" x14ac:dyDescent="0.25">
      <c r="B205" s="76"/>
      <c r="C205" s="68"/>
      <c r="D205" s="62"/>
      <c r="E205" s="65"/>
      <c r="F205" s="2" t="s">
        <v>12</v>
      </c>
      <c r="G205" s="4" t="s">
        <v>227</v>
      </c>
      <c r="H205" s="5" t="s">
        <v>352</v>
      </c>
      <c r="I205" s="4" t="s">
        <v>438</v>
      </c>
      <c r="J205" s="5"/>
      <c r="K205" s="4"/>
      <c r="L205" s="41"/>
      <c r="M205" s="42"/>
      <c r="N205" s="10"/>
    </row>
    <row r="206" spans="2:14" ht="98.25" customHeight="1" x14ac:dyDescent="0.25">
      <c r="B206" s="76"/>
      <c r="C206" s="68"/>
      <c r="D206" s="62"/>
      <c r="E206" s="65"/>
      <c r="F206" s="2" t="s">
        <v>13</v>
      </c>
      <c r="G206" s="4" t="s">
        <v>228</v>
      </c>
      <c r="H206" s="5">
        <v>1</v>
      </c>
      <c r="I206" s="4" t="s">
        <v>499</v>
      </c>
      <c r="J206" s="5"/>
      <c r="K206" s="4"/>
      <c r="L206" s="41"/>
      <c r="M206" s="42"/>
      <c r="N206" s="10"/>
    </row>
    <row r="207" spans="2:14" ht="103.5" customHeight="1" x14ac:dyDescent="0.25">
      <c r="B207" s="76"/>
      <c r="C207" s="68"/>
      <c r="D207" s="63"/>
      <c r="E207" s="66"/>
      <c r="F207" s="2" t="s">
        <v>14</v>
      </c>
      <c r="G207" s="4" t="s">
        <v>229</v>
      </c>
      <c r="H207" s="5">
        <v>1</v>
      </c>
      <c r="I207" s="4" t="s">
        <v>501</v>
      </c>
      <c r="J207" s="5"/>
      <c r="K207" s="4"/>
      <c r="L207" s="41"/>
      <c r="M207" s="42"/>
      <c r="N207" s="11"/>
    </row>
    <row r="208" spans="2:14" ht="51.75" customHeight="1" x14ac:dyDescent="0.25">
      <c r="B208" s="76"/>
      <c r="C208" s="68"/>
      <c r="D208" s="61">
        <v>33</v>
      </c>
      <c r="E208" s="64" t="s">
        <v>231</v>
      </c>
      <c r="F208" s="2" t="s">
        <v>5</v>
      </c>
      <c r="G208" s="4" t="s">
        <v>232</v>
      </c>
      <c r="H208" s="5">
        <v>1</v>
      </c>
      <c r="I208" s="4" t="s">
        <v>615</v>
      </c>
      <c r="J208" s="5"/>
      <c r="K208" s="4"/>
      <c r="L208" s="41"/>
      <c r="M208" s="42"/>
      <c r="N208" s="9"/>
    </row>
    <row r="209" spans="2:14" ht="96.75" customHeight="1" x14ac:dyDescent="0.25">
      <c r="B209" s="76"/>
      <c r="C209" s="68"/>
      <c r="D209" s="62"/>
      <c r="E209" s="65"/>
      <c r="F209" s="2" t="s">
        <v>7</v>
      </c>
      <c r="G209" s="4" t="s">
        <v>502</v>
      </c>
      <c r="H209" s="5" t="s">
        <v>352</v>
      </c>
      <c r="I209" s="4" t="s">
        <v>509</v>
      </c>
      <c r="J209" s="5"/>
      <c r="K209" s="4"/>
      <c r="L209" s="41"/>
      <c r="M209" s="42"/>
      <c r="N209" s="10"/>
    </row>
    <row r="210" spans="2:14" ht="74.25" customHeight="1" x14ac:dyDescent="0.25">
      <c r="B210" s="76"/>
      <c r="C210" s="68"/>
      <c r="D210" s="62"/>
      <c r="E210" s="65"/>
      <c r="F210" s="2" t="s">
        <v>9</v>
      </c>
      <c r="G210" s="4" t="s">
        <v>233</v>
      </c>
      <c r="H210" s="5">
        <v>1</v>
      </c>
      <c r="I210" s="4" t="s">
        <v>508</v>
      </c>
      <c r="J210" s="5"/>
      <c r="K210" s="4"/>
      <c r="L210" s="41"/>
      <c r="M210" s="42"/>
      <c r="N210" s="10"/>
    </row>
    <row r="211" spans="2:14" ht="78.75" customHeight="1" x14ac:dyDescent="0.25">
      <c r="B211" s="76"/>
      <c r="C211" s="68"/>
      <c r="D211" s="62"/>
      <c r="E211" s="65"/>
      <c r="F211" s="2" t="s">
        <v>10</v>
      </c>
      <c r="G211" s="4" t="s">
        <v>234</v>
      </c>
      <c r="H211" s="5" t="s">
        <v>486</v>
      </c>
      <c r="I211" s="4" t="s">
        <v>510</v>
      </c>
      <c r="J211" s="5"/>
      <c r="K211" s="4"/>
      <c r="L211" s="41"/>
      <c r="M211" s="42"/>
      <c r="N211" s="10"/>
    </row>
    <row r="212" spans="2:14" ht="147.75" customHeight="1" x14ac:dyDescent="0.25">
      <c r="B212" s="76"/>
      <c r="C212" s="68"/>
      <c r="D212" s="62"/>
      <c r="E212" s="65"/>
      <c r="F212" s="2" t="s">
        <v>12</v>
      </c>
      <c r="G212" s="4" t="s">
        <v>235</v>
      </c>
      <c r="H212" s="5" t="s">
        <v>319</v>
      </c>
      <c r="I212" s="4" t="s">
        <v>511</v>
      </c>
      <c r="J212" s="5"/>
      <c r="K212" s="4"/>
      <c r="L212" s="41"/>
      <c r="M212" s="42"/>
      <c r="N212" s="10"/>
    </row>
    <row r="213" spans="2:14" ht="102.75" customHeight="1" x14ac:dyDescent="0.25">
      <c r="B213" s="76"/>
      <c r="C213" s="68"/>
      <c r="D213" s="62"/>
      <c r="E213" s="65"/>
      <c r="F213" s="2" t="s">
        <v>13</v>
      </c>
      <c r="G213" s="4" t="s">
        <v>236</v>
      </c>
      <c r="H213" s="5" t="s">
        <v>513</v>
      </c>
      <c r="I213" s="4" t="s">
        <v>512</v>
      </c>
      <c r="J213" s="5"/>
      <c r="K213" s="4"/>
      <c r="L213" s="41"/>
      <c r="M213" s="42"/>
      <c r="N213" s="10"/>
    </row>
    <row r="214" spans="2:14" ht="37.5" customHeight="1" x14ac:dyDescent="0.25">
      <c r="B214" s="76"/>
      <c r="C214" s="68"/>
      <c r="D214" s="62"/>
      <c r="E214" s="65"/>
      <c r="F214" s="2" t="s">
        <v>14</v>
      </c>
      <c r="G214" s="4" t="s">
        <v>237</v>
      </c>
      <c r="H214" s="5">
        <v>1</v>
      </c>
      <c r="I214" s="4" t="s">
        <v>514</v>
      </c>
      <c r="J214" s="5"/>
      <c r="K214" s="4"/>
      <c r="L214" s="41"/>
      <c r="M214" s="42"/>
      <c r="N214" s="10"/>
    </row>
    <row r="215" spans="2:14" ht="114.75" customHeight="1" x14ac:dyDescent="0.25">
      <c r="B215" s="76"/>
      <c r="C215" s="68"/>
      <c r="D215" s="62"/>
      <c r="E215" s="65"/>
      <c r="F215" s="2" t="s">
        <v>35</v>
      </c>
      <c r="G215" s="4" t="s">
        <v>238</v>
      </c>
      <c r="H215" s="5">
        <v>1</v>
      </c>
      <c r="I215" s="4" t="s">
        <v>515</v>
      </c>
      <c r="J215" s="5"/>
      <c r="K215" s="4"/>
      <c r="L215" s="41"/>
      <c r="M215" s="42"/>
      <c r="N215" s="10"/>
    </row>
    <row r="216" spans="2:14" ht="54.75" customHeight="1" x14ac:dyDescent="0.25">
      <c r="B216" s="76"/>
      <c r="C216" s="68"/>
      <c r="D216" s="62"/>
      <c r="E216" s="65"/>
      <c r="F216" s="2" t="s">
        <v>36</v>
      </c>
      <c r="G216" s="4" t="s">
        <v>239</v>
      </c>
      <c r="H216" s="5">
        <v>1</v>
      </c>
      <c r="I216" s="4" t="s">
        <v>516</v>
      </c>
      <c r="J216" s="5"/>
      <c r="K216" s="4"/>
      <c r="L216" s="41"/>
      <c r="M216" s="42"/>
      <c r="N216" s="10"/>
    </row>
    <row r="217" spans="2:14" ht="80.25" customHeight="1" x14ac:dyDescent="0.25">
      <c r="B217" s="76"/>
      <c r="C217" s="68"/>
      <c r="D217" s="62"/>
      <c r="E217" s="65"/>
      <c r="F217" s="2" t="s">
        <v>39</v>
      </c>
      <c r="G217" s="4" t="s">
        <v>240</v>
      </c>
      <c r="H217" s="5">
        <v>1</v>
      </c>
      <c r="I217" s="4" t="s">
        <v>517</v>
      </c>
      <c r="J217" s="5"/>
      <c r="K217" s="4"/>
      <c r="L217" s="41"/>
      <c r="M217" s="42"/>
      <c r="N217" s="10"/>
    </row>
    <row r="218" spans="2:14" ht="143.25" customHeight="1" x14ac:dyDescent="0.25">
      <c r="B218" s="77"/>
      <c r="C218" s="74"/>
      <c r="D218" s="63"/>
      <c r="E218" s="66"/>
      <c r="F218" s="2" t="s">
        <v>241</v>
      </c>
      <c r="G218" s="4" t="s">
        <v>242</v>
      </c>
      <c r="H218" s="5">
        <v>1</v>
      </c>
      <c r="I218" s="4" t="s">
        <v>518</v>
      </c>
      <c r="J218" s="5"/>
      <c r="K218" s="4"/>
      <c r="L218" s="41"/>
      <c r="M218" s="42"/>
      <c r="N218" s="11"/>
    </row>
    <row r="219" spans="2:14" ht="124.5" customHeight="1" x14ac:dyDescent="0.25">
      <c r="B219" s="75">
        <v>10</v>
      </c>
      <c r="C219" s="67" t="s">
        <v>243</v>
      </c>
      <c r="D219" s="61">
        <v>34</v>
      </c>
      <c r="E219" s="64" t="s">
        <v>244</v>
      </c>
      <c r="F219" s="2" t="s">
        <v>5</v>
      </c>
      <c r="G219" s="4" t="s">
        <v>245</v>
      </c>
      <c r="H219" s="5" t="s">
        <v>352</v>
      </c>
      <c r="I219" s="4" t="s">
        <v>519</v>
      </c>
      <c r="J219" s="5"/>
      <c r="K219" s="4"/>
      <c r="L219" s="41"/>
      <c r="M219" s="42"/>
      <c r="N219" s="9"/>
    </row>
    <row r="220" spans="2:14" ht="255" x14ac:dyDescent="0.25">
      <c r="B220" s="76"/>
      <c r="C220" s="68"/>
      <c r="D220" s="62"/>
      <c r="E220" s="65"/>
      <c r="F220" s="2" t="s">
        <v>7</v>
      </c>
      <c r="G220" s="4" t="s">
        <v>246</v>
      </c>
      <c r="H220" s="5" t="s">
        <v>343</v>
      </c>
      <c r="I220" s="4" t="s">
        <v>520</v>
      </c>
      <c r="J220" s="5"/>
      <c r="K220" s="4"/>
      <c r="L220" s="41"/>
      <c r="M220" s="42"/>
      <c r="N220" s="10"/>
    </row>
    <row r="221" spans="2:14" ht="38.25" customHeight="1" x14ac:dyDescent="0.25">
      <c r="B221" s="76"/>
      <c r="C221" s="68"/>
      <c r="D221" s="62"/>
      <c r="E221" s="65"/>
      <c r="F221" s="2" t="s">
        <v>9</v>
      </c>
      <c r="G221" s="4" t="s">
        <v>247</v>
      </c>
      <c r="H221" s="5">
        <v>1</v>
      </c>
      <c r="I221" s="4" t="s">
        <v>521</v>
      </c>
      <c r="J221" s="5"/>
      <c r="K221" s="4"/>
      <c r="L221" s="41"/>
      <c r="M221" s="42"/>
      <c r="N221" s="10"/>
    </row>
    <row r="222" spans="2:14" ht="225" x14ac:dyDescent="0.25">
      <c r="B222" s="76"/>
      <c r="C222" s="68"/>
      <c r="D222" s="62"/>
      <c r="E222" s="65"/>
      <c r="F222" s="2" t="s">
        <v>10</v>
      </c>
      <c r="G222" s="4" t="s">
        <v>248</v>
      </c>
      <c r="H222" s="5" t="s">
        <v>428</v>
      </c>
      <c r="I222" s="4" t="s">
        <v>522</v>
      </c>
      <c r="J222" s="5"/>
      <c r="K222" s="4"/>
      <c r="L222" s="41"/>
      <c r="M222" s="42"/>
      <c r="N222" s="10"/>
    </row>
    <row r="223" spans="2:14" ht="96" customHeight="1" x14ac:dyDescent="0.25">
      <c r="B223" s="76"/>
      <c r="C223" s="68"/>
      <c r="D223" s="62"/>
      <c r="E223" s="65"/>
      <c r="F223" s="2" t="s">
        <v>12</v>
      </c>
      <c r="G223" s="4" t="s">
        <v>249</v>
      </c>
      <c r="H223" s="5">
        <v>1</v>
      </c>
      <c r="I223" s="4" t="s">
        <v>536</v>
      </c>
      <c r="J223" s="5"/>
      <c r="K223" s="4"/>
      <c r="L223" s="4"/>
      <c r="M223" s="42"/>
      <c r="N223" s="10"/>
    </row>
    <row r="224" spans="2:14" ht="144" customHeight="1" x14ac:dyDescent="0.25">
      <c r="B224" s="76"/>
      <c r="C224" s="68"/>
      <c r="D224" s="62"/>
      <c r="E224" s="65"/>
      <c r="F224" s="2" t="s">
        <v>13</v>
      </c>
      <c r="G224" s="4" t="s">
        <v>250</v>
      </c>
      <c r="H224" s="5" t="s">
        <v>352</v>
      </c>
      <c r="I224" s="4" t="s">
        <v>523</v>
      </c>
      <c r="J224" s="5"/>
      <c r="K224" s="4"/>
      <c r="L224" s="4"/>
      <c r="M224" s="42"/>
      <c r="N224" s="10"/>
    </row>
    <row r="225" spans="2:14" ht="52.5" customHeight="1" x14ac:dyDescent="0.25">
      <c r="B225" s="76"/>
      <c r="C225" s="68"/>
      <c r="D225" s="62"/>
      <c r="E225" s="65"/>
      <c r="F225" s="2" t="s">
        <v>14</v>
      </c>
      <c r="G225" s="4" t="s">
        <v>251</v>
      </c>
      <c r="H225" s="5">
        <v>1</v>
      </c>
      <c r="I225" s="4" t="s">
        <v>524</v>
      </c>
      <c r="J225" s="5"/>
      <c r="K225" s="4"/>
      <c r="L225" s="4"/>
      <c r="M225" s="42"/>
      <c r="N225" s="10"/>
    </row>
    <row r="226" spans="2:14" ht="147" customHeight="1" x14ac:dyDescent="0.25">
      <c r="B226" s="76"/>
      <c r="C226" s="68"/>
      <c r="D226" s="62"/>
      <c r="E226" s="65"/>
      <c r="F226" s="2" t="s">
        <v>35</v>
      </c>
      <c r="G226" s="4" t="s">
        <v>252</v>
      </c>
      <c r="H226" s="5" t="s">
        <v>527</v>
      </c>
      <c r="I226" s="4" t="s">
        <v>526</v>
      </c>
      <c r="J226" s="5"/>
      <c r="K226" s="4"/>
      <c r="L226" s="4"/>
      <c r="M226" s="42"/>
      <c r="N226" s="10"/>
    </row>
    <row r="227" spans="2:14" ht="48.75" customHeight="1" x14ac:dyDescent="0.25">
      <c r="B227" s="76"/>
      <c r="C227" s="68"/>
      <c r="D227" s="62"/>
      <c r="E227" s="65"/>
      <c r="F227" s="2" t="s">
        <v>36</v>
      </c>
      <c r="G227" s="4" t="s">
        <v>253</v>
      </c>
      <c r="H227" s="5">
        <v>1</v>
      </c>
      <c r="I227" s="4" t="s">
        <v>524</v>
      </c>
      <c r="J227" s="5"/>
      <c r="K227" s="4"/>
      <c r="L227" s="4"/>
      <c r="M227" s="42"/>
      <c r="N227" s="10"/>
    </row>
    <row r="228" spans="2:14" ht="97.5" customHeight="1" x14ac:dyDescent="0.25">
      <c r="B228" s="76"/>
      <c r="C228" s="68"/>
      <c r="D228" s="62"/>
      <c r="E228" s="65"/>
      <c r="F228" s="2" t="s">
        <v>39</v>
      </c>
      <c r="G228" s="4" t="s">
        <v>254</v>
      </c>
      <c r="H228" s="5" t="s">
        <v>352</v>
      </c>
      <c r="I228" s="4" t="s">
        <v>525</v>
      </c>
      <c r="J228" s="5"/>
      <c r="K228" s="4"/>
      <c r="L228" s="4"/>
      <c r="M228" s="42"/>
      <c r="N228" s="10"/>
    </row>
    <row r="229" spans="2:14" ht="50.25" customHeight="1" x14ac:dyDescent="0.25">
      <c r="B229" s="77"/>
      <c r="C229" s="74"/>
      <c r="D229" s="63"/>
      <c r="E229" s="66"/>
      <c r="F229" s="2" t="s">
        <v>241</v>
      </c>
      <c r="G229" s="4" t="s">
        <v>255</v>
      </c>
      <c r="H229" s="5">
        <v>1</v>
      </c>
      <c r="I229" s="4" t="s">
        <v>524</v>
      </c>
      <c r="J229" s="5"/>
      <c r="K229" s="4"/>
      <c r="L229" s="4"/>
      <c r="M229" s="42"/>
      <c r="N229" s="11"/>
    </row>
    <row r="230" spans="2:14" ht="225" customHeight="1" x14ac:dyDescent="0.25">
      <c r="B230" s="75">
        <v>11</v>
      </c>
      <c r="C230" s="67" t="s">
        <v>256</v>
      </c>
      <c r="D230" s="61">
        <v>35</v>
      </c>
      <c r="E230" s="64" t="s">
        <v>257</v>
      </c>
      <c r="F230" s="2" t="s">
        <v>5</v>
      </c>
      <c r="G230" s="4" t="s">
        <v>258</v>
      </c>
      <c r="H230" s="5" t="s">
        <v>530</v>
      </c>
      <c r="I230" s="4" t="s">
        <v>529</v>
      </c>
      <c r="J230" s="5"/>
      <c r="K230" s="4"/>
      <c r="L230" s="4"/>
      <c r="M230" s="42"/>
      <c r="N230" s="9"/>
    </row>
    <row r="231" spans="2:14" ht="96.75" customHeight="1" x14ac:dyDescent="0.25">
      <c r="B231" s="76"/>
      <c r="C231" s="68"/>
      <c r="D231" s="62"/>
      <c r="E231" s="65"/>
      <c r="F231" s="2" t="s">
        <v>7</v>
      </c>
      <c r="G231" s="4" t="s">
        <v>259</v>
      </c>
      <c r="H231" s="5" t="s">
        <v>343</v>
      </c>
      <c r="I231" s="4" t="s">
        <v>528</v>
      </c>
      <c r="J231" s="5"/>
      <c r="K231" s="4"/>
      <c r="L231" s="4"/>
      <c r="M231" s="42"/>
      <c r="N231" s="10"/>
    </row>
    <row r="232" spans="2:14" ht="249" customHeight="1" x14ac:dyDescent="0.25">
      <c r="B232" s="76"/>
      <c r="C232" s="68"/>
      <c r="D232" s="62"/>
      <c r="E232" s="65"/>
      <c r="F232" s="2" t="s">
        <v>9</v>
      </c>
      <c r="G232" s="4" t="s">
        <v>260</v>
      </c>
      <c r="H232" s="5" t="s">
        <v>428</v>
      </c>
      <c r="I232" s="4" t="s">
        <v>570</v>
      </c>
      <c r="J232" s="5"/>
      <c r="K232" s="4"/>
      <c r="L232" s="4"/>
      <c r="M232" s="42"/>
      <c r="N232" s="10"/>
    </row>
    <row r="233" spans="2:14" ht="84" customHeight="1" x14ac:dyDescent="0.25">
      <c r="B233" s="76"/>
      <c r="C233" s="68"/>
      <c r="D233" s="62"/>
      <c r="E233" s="65"/>
      <c r="F233" s="2" t="s">
        <v>10</v>
      </c>
      <c r="G233" s="4" t="s">
        <v>261</v>
      </c>
      <c r="H233" s="5">
        <v>1</v>
      </c>
      <c r="I233" s="4" t="s">
        <v>537</v>
      </c>
      <c r="J233" s="5"/>
      <c r="K233" s="4"/>
      <c r="L233" s="4"/>
      <c r="M233" s="42"/>
      <c r="N233" s="10"/>
    </row>
    <row r="234" spans="2:14" ht="192" customHeight="1" x14ac:dyDescent="0.25">
      <c r="B234" s="76"/>
      <c r="C234" s="68"/>
      <c r="D234" s="63"/>
      <c r="E234" s="66"/>
      <c r="F234" s="2" t="s">
        <v>12</v>
      </c>
      <c r="G234" s="4" t="s">
        <v>262</v>
      </c>
      <c r="H234" s="5" t="s">
        <v>531</v>
      </c>
      <c r="I234" s="4" t="s">
        <v>532</v>
      </c>
      <c r="J234" s="5"/>
      <c r="K234" s="4"/>
      <c r="L234" s="4"/>
      <c r="M234" s="42"/>
      <c r="N234" s="11"/>
    </row>
    <row r="235" spans="2:14" ht="57" customHeight="1" x14ac:dyDescent="0.25">
      <c r="B235" s="76"/>
      <c r="C235" s="68"/>
      <c r="D235" s="61">
        <v>36</v>
      </c>
      <c r="E235" s="64" t="s">
        <v>263</v>
      </c>
      <c r="F235" s="2" t="s">
        <v>5</v>
      </c>
      <c r="G235" s="4" t="s">
        <v>264</v>
      </c>
      <c r="H235" s="5">
        <v>1</v>
      </c>
      <c r="I235" s="4" t="s">
        <v>533</v>
      </c>
      <c r="J235" s="5"/>
      <c r="K235" s="4"/>
      <c r="L235" s="4"/>
      <c r="M235" s="42"/>
      <c r="N235" s="9"/>
    </row>
    <row r="236" spans="2:14" ht="67.5" customHeight="1" x14ac:dyDescent="0.25">
      <c r="B236" s="76"/>
      <c r="C236" s="68"/>
      <c r="D236" s="62"/>
      <c r="E236" s="65"/>
      <c r="F236" s="2" t="s">
        <v>7</v>
      </c>
      <c r="G236" s="4" t="s">
        <v>265</v>
      </c>
      <c r="H236" s="5">
        <v>1</v>
      </c>
      <c r="I236" s="4" t="s">
        <v>533</v>
      </c>
      <c r="J236" s="5"/>
      <c r="K236" s="4"/>
      <c r="L236" s="4"/>
      <c r="M236" s="42"/>
      <c r="N236" s="10"/>
    </row>
    <row r="237" spans="2:14" ht="150" customHeight="1" x14ac:dyDescent="0.25">
      <c r="B237" s="76"/>
      <c r="C237" s="68"/>
      <c r="D237" s="62"/>
      <c r="E237" s="65"/>
      <c r="F237" s="2" t="s">
        <v>9</v>
      </c>
      <c r="G237" s="4" t="s">
        <v>266</v>
      </c>
      <c r="H237" s="5" t="s">
        <v>318</v>
      </c>
      <c r="I237" s="4" t="s">
        <v>534</v>
      </c>
      <c r="J237" s="5"/>
      <c r="K237" s="4"/>
      <c r="L237" s="4"/>
      <c r="M237" s="42"/>
      <c r="N237" s="10"/>
    </row>
    <row r="238" spans="2:14" ht="53.25" customHeight="1" x14ac:dyDescent="0.25">
      <c r="B238" s="76"/>
      <c r="C238" s="68"/>
      <c r="D238" s="62"/>
      <c r="E238" s="65"/>
      <c r="F238" s="2" t="s">
        <v>10</v>
      </c>
      <c r="G238" s="4" t="s">
        <v>267</v>
      </c>
      <c r="H238" s="5">
        <v>1</v>
      </c>
      <c r="I238" s="4" t="s">
        <v>535</v>
      </c>
      <c r="J238" s="5"/>
      <c r="K238" s="4"/>
      <c r="L238" s="4"/>
      <c r="M238" s="42"/>
      <c r="N238" s="10"/>
    </row>
    <row r="239" spans="2:14" ht="72" customHeight="1" x14ac:dyDescent="0.25">
      <c r="B239" s="76"/>
      <c r="C239" s="68"/>
      <c r="D239" s="62"/>
      <c r="E239" s="65"/>
      <c r="F239" s="2" t="s">
        <v>12</v>
      </c>
      <c r="G239" s="4" t="s">
        <v>268</v>
      </c>
      <c r="H239" s="5">
        <v>1</v>
      </c>
      <c r="I239" s="4" t="s">
        <v>538</v>
      </c>
      <c r="J239" s="5"/>
      <c r="K239" s="4"/>
      <c r="L239" s="4"/>
      <c r="M239" s="42"/>
      <c r="N239" s="10"/>
    </row>
    <row r="240" spans="2:14" ht="124.5" customHeight="1" x14ac:dyDescent="0.25">
      <c r="B240" s="76"/>
      <c r="C240" s="68"/>
      <c r="D240" s="62"/>
      <c r="E240" s="65"/>
      <c r="F240" s="2" t="s">
        <v>13</v>
      </c>
      <c r="G240" s="4" t="s">
        <v>269</v>
      </c>
      <c r="H240" s="5" t="s">
        <v>352</v>
      </c>
      <c r="I240" s="4" t="s">
        <v>539</v>
      </c>
      <c r="J240" s="5"/>
      <c r="K240" s="4"/>
      <c r="L240" s="4"/>
      <c r="M240" s="42"/>
      <c r="N240" s="10"/>
    </row>
    <row r="241" spans="2:14" ht="204" customHeight="1" x14ac:dyDescent="0.25">
      <c r="B241" s="76"/>
      <c r="C241" s="68"/>
      <c r="D241" s="63"/>
      <c r="E241" s="66"/>
      <c r="F241" s="2" t="s">
        <v>14</v>
      </c>
      <c r="G241" s="4" t="s">
        <v>270</v>
      </c>
      <c r="H241" s="5" t="s">
        <v>322</v>
      </c>
      <c r="I241" s="4" t="s">
        <v>540</v>
      </c>
      <c r="J241" s="5"/>
      <c r="K241" s="4"/>
      <c r="L241" s="4"/>
      <c r="M241" s="42"/>
      <c r="N241" s="11"/>
    </row>
    <row r="242" spans="2:14" ht="110.25" customHeight="1" x14ac:dyDescent="0.25">
      <c r="B242" s="76"/>
      <c r="C242" s="68"/>
      <c r="D242" s="61">
        <v>37</v>
      </c>
      <c r="E242" s="64" t="s">
        <v>277</v>
      </c>
      <c r="F242" s="2" t="s">
        <v>5</v>
      </c>
      <c r="G242" s="4" t="s">
        <v>271</v>
      </c>
      <c r="H242" s="5">
        <v>1</v>
      </c>
      <c r="I242" s="4" t="s">
        <v>541</v>
      </c>
      <c r="J242" s="5"/>
      <c r="K242" s="4"/>
      <c r="L242" s="4"/>
      <c r="M242" s="42"/>
      <c r="N242" s="9"/>
    </row>
    <row r="243" spans="2:14" ht="181.5" customHeight="1" x14ac:dyDescent="0.25">
      <c r="B243" s="76"/>
      <c r="C243" s="68"/>
      <c r="D243" s="62"/>
      <c r="E243" s="65"/>
      <c r="F243" s="2" t="s">
        <v>7</v>
      </c>
      <c r="G243" s="4" t="s">
        <v>272</v>
      </c>
      <c r="H243" s="5" t="s">
        <v>531</v>
      </c>
      <c r="I243" s="4" t="s">
        <v>545</v>
      </c>
      <c r="J243" s="5"/>
      <c r="K243" s="4"/>
      <c r="L243" s="4"/>
      <c r="M243" s="42"/>
      <c r="N243" s="10"/>
    </row>
    <row r="244" spans="2:14" ht="196.5" customHeight="1" x14ac:dyDescent="0.25">
      <c r="B244" s="76"/>
      <c r="C244" s="68"/>
      <c r="D244" s="62"/>
      <c r="E244" s="65"/>
      <c r="F244" s="2" t="s">
        <v>9</v>
      </c>
      <c r="G244" s="4" t="s">
        <v>273</v>
      </c>
      <c r="H244" s="5" t="s">
        <v>531</v>
      </c>
      <c r="I244" s="4" t="s">
        <v>546</v>
      </c>
      <c r="J244" s="5"/>
      <c r="K244" s="4"/>
      <c r="L244" s="4"/>
      <c r="M244" s="42"/>
      <c r="N244" s="10"/>
    </row>
    <row r="245" spans="2:14" ht="112.5" customHeight="1" x14ac:dyDescent="0.25">
      <c r="B245" s="76"/>
      <c r="C245" s="68"/>
      <c r="D245" s="62"/>
      <c r="E245" s="65"/>
      <c r="F245" s="2" t="s">
        <v>10</v>
      </c>
      <c r="G245" s="4" t="s">
        <v>274</v>
      </c>
      <c r="H245" s="5" t="s">
        <v>486</v>
      </c>
      <c r="I245" s="4" t="s">
        <v>542</v>
      </c>
      <c r="J245" s="5"/>
      <c r="K245" s="4"/>
      <c r="L245" s="4"/>
      <c r="M245" s="42"/>
      <c r="N245" s="10"/>
    </row>
    <row r="246" spans="2:14" ht="123.75" customHeight="1" x14ac:dyDescent="0.25">
      <c r="B246" s="76"/>
      <c r="C246" s="68"/>
      <c r="D246" s="62"/>
      <c r="E246" s="65"/>
      <c r="F246" s="2" t="s">
        <v>12</v>
      </c>
      <c r="G246" s="4" t="s">
        <v>275</v>
      </c>
      <c r="H246" s="5" t="s">
        <v>486</v>
      </c>
      <c r="I246" s="4" t="s">
        <v>543</v>
      </c>
      <c r="J246" s="5"/>
      <c r="K246" s="4"/>
      <c r="L246" s="4"/>
      <c r="M246" s="42"/>
      <c r="N246" s="10"/>
    </row>
    <row r="247" spans="2:14" ht="210" customHeight="1" x14ac:dyDescent="0.25">
      <c r="B247" s="77"/>
      <c r="C247" s="74"/>
      <c r="D247" s="63"/>
      <c r="E247" s="66"/>
      <c r="F247" s="2" t="s">
        <v>13</v>
      </c>
      <c r="G247" s="4" t="s">
        <v>276</v>
      </c>
      <c r="H247" s="5" t="s">
        <v>527</v>
      </c>
      <c r="I247" s="4" t="s">
        <v>544</v>
      </c>
      <c r="J247" s="5"/>
      <c r="K247" s="4"/>
      <c r="L247" s="4"/>
      <c r="M247" s="42"/>
      <c r="N247" s="11"/>
    </row>
    <row r="248" spans="2:14" ht="69" customHeight="1" x14ac:dyDescent="0.25">
      <c r="B248" s="75">
        <v>12</v>
      </c>
      <c r="C248" s="67" t="s">
        <v>278</v>
      </c>
      <c r="D248" s="61">
        <v>38</v>
      </c>
      <c r="E248" s="64" t="s">
        <v>279</v>
      </c>
      <c r="F248" s="2" t="s">
        <v>5</v>
      </c>
      <c r="G248" s="4" t="s">
        <v>281</v>
      </c>
      <c r="H248" s="5" t="s">
        <v>486</v>
      </c>
      <c r="I248" s="4" t="s">
        <v>547</v>
      </c>
      <c r="J248" s="5"/>
      <c r="K248" s="4"/>
      <c r="L248" s="4"/>
      <c r="M248" s="42"/>
      <c r="N248" s="9"/>
    </row>
    <row r="249" spans="2:14" ht="105" customHeight="1" x14ac:dyDescent="0.25">
      <c r="B249" s="76"/>
      <c r="C249" s="68"/>
      <c r="D249" s="62"/>
      <c r="E249" s="65"/>
      <c r="F249" s="2" t="s">
        <v>7</v>
      </c>
      <c r="G249" s="4" t="s">
        <v>282</v>
      </c>
      <c r="H249" s="5" t="s">
        <v>352</v>
      </c>
      <c r="I249" s="4" t="s">
        <v>548</v>
      </c>
      <c r="J249" s="5"/>
      <c r="K249" s="4"/>
      <c r="L249" s="4"/>
      <c r="M249" s="42"/>
      <c r="N249" s="10"/>
    </row>
    <row r="250" spans="2:14" ht="51" customHeight="1" x14ac:dyDescent="0.25">
      <c r="B250" s="76"/>
      <c r="C250" s="68"/>
      <c r="D250" s="62"/>
      <c r="E250" s="65"/>
      <c r="F250" s="2" t="s">
        <v>9</v>
      </c>
      <c r="G250" s="4" t="s">
        <v>283</v>
      </c>
      <c r="H250" s="5">
        <v>1</v>
      </c>
      <c r="I250" s="4" t="s">
        <v>549</v>
      </c>
      <c r="J250" s="5"/>
      <c r="K250" s="4"/>
      <c r="L250" s="4"/>
      <c r="M250" s="42"/>
      <c r="N250" s="10"/>
    </row>
    <row r="251" spans="2:14" ht="128.25" customHeight="1" x14ac:dyDescent="0.25">
      <c r="B251" s="76"/>
      <c r="C251" s="68"/>
      <c r="D251" s="62"/>
      <c r="E251" s="65"/>
      <c r="F251" s="2" t="s">
        <v>10</v>
      </c>
      <c r="G251" s="4" t="s">
        <v>280</v>
      </c>
      <c r="H251" s="5" t="s">
        <v>319</v>
      </c>
      <c r="I251" s="4" t="s">
        <v>550</v>
      </c>
      <c r="J251" s="5"/>
      <c r="K251" s="4"/>
      <c r="L251" s="4"/>
      <c r="M251" s="42"/>
      <c r="N251" s="10"/>
    </row>
    <row r="252" spans="2:14" ht="37.5" customHeight="1" x14ac:dyDescent="0.25">
      <c r="B252" s="76"/>
      <c r="C252" s="68"/>
      <c r="D252" s="62"/>
      <c r="E252" s="65"/>
      <c r="F252" s="2" t="s">
        <v>12</v>
      </c>
      <c r="G252" s="4" t="s">
        <v>284</v>
      </c>
      <c r="H252" s="5">
        <v>1</v>
      </c>
      <c r="I252" s="4" t="s">
        <v>551</v>
      </c>
      <c r="J252" s="5"/>
      <c r="K252" s="4"/>
      <c r="L252" s="4"/>
      <c r="M252" s="42"/>
      <c r="N252" s="10"/>
    </row>
    <row r="253" spans="2:14" ht="68.25" customHeight="1" x14ac:dyDescent="0.25">
      <c r="B253" s="76"/>
      <c r="C253" s="68"/>
      <c r="D253" s="62"/>
      <c r="E253" s="65"/>
      <c r="F253" s="2" t="s">
        <v>13</v>
      </c>
      <c r="G253" s="4" t="s">
        <v>285</v>
      </c>
      <c r="H253" s="5">
        <v>1</v>
      </c>
      <c r="I253" s="4" t="s">
        <v>549</v>
      </c>
      <c r="J253" s="5"/>
      <c r="K253" s="4"/>
      <c r="L253" s="4"/>
      <c r="M253" s="42"/>
      <c r="N253" s="10"/>
    </row>
    <row r="254" spans="2:14" ht="83.25" customHeight="1" x14ac:dyDescent="0.25">
      <c r="B254" s="76"/>
      <c r="C254" s="68"/>
      <c r="D254" s="62"/>
      <c r="E254" s="65"/>
      <c r="F254" s="2" t="s">
        <v>14</v>
      </c>
      <c r="G254" s="4" t="s">
        <v>286</v>
      </c>
      <c r="H254" s="5">
        <v>1</v>
      </c>
      <c r="I254" s="4" t="s">
        <v>552</v>
      </c>
      <c r="J254" s="5"/>
      <c r="K254" s="4"/>
      <c r="L254" s="4"/>
      <c r="M254" s="42"/>
      <c r="N254" s="10"/>
    </row>
    <row r="255" spans="2:14" ht="45" x14ac:dyDescent="0.25">
      <c r="B255" s="76"/>
      <c r="C255" s="68"/>
      <c r="D255" s="62"/>
      <c r="E255" s="65"/>
      <c r="F255" s="2" t="s">
        <v>35</v>
      </c>
      <c r="G255" s="4" t="s">
        <v>287</v>
      </c>
      <c r="H255" s="5">
        <v>1</v>
      </c>
      <c r="I255" s="4" t="s">
        <v>553</v>
      </c>
      <c r="J255" s="5"/>
      <c r="K255" s="4"/>
      <c r="L255" s="4"/>
      <c r="M255" s="42"/>
      <c r="N255" s="10"/>
    </row>
    <row r="256" spans="2:14" ht="67.5" customHeight="1" x14ac:dyDescent="0.25">
      <c r="B256" s="76"/>
      <c r="C256" s="68"/>
      <c r="D256" s="62"/>
      <c r="E256" s="65"/>
      <c r="F256" s="2" t="s">
        <v>36</v>
      </c>
      <c r="G256" s="4" t="s">
        <v>288</v>
      </c>
      <c r="H256" s="5">
        <v>1</v>
      </c>
      <c r="I256" s="4" t="s">
        <v>554</v>
      </c>
      <c r="J256" s="5"/>
      <c r="K256" s="4"/>
      <c r="L256" s="4"/>
      <c r="M256" s="42"/>
      <c r="N256" s="10"/>
    </row>
    <row r="257" spans="2:14" ht="38.25" customHeight="1" x14ac:dyDescent="0.25">
      <c r="B257" s="76"/>
      <c r="C257" s="68"/>
      <c r="D257" s="63"/>
      <c r="E257" s="66"/>
      <c r="F257" s="2" t="s">
        <v>39</v>
      </c>
      <c r="G257" s="4" t="s">
        <v>289</v>
      </c>
      <c r="H257" s="5">
        <v>1</v>
      </c>
      <c r="I257" s="4" t="s">
        <v>555</v>
      </c>
      <c r="J257" s="5"/>
      <c r="K257" s="4"/>
      <c r="L257" s="4"/>
      <c r="M257" s="42"/>
      <c r="N257" s="11"/>
    </row>
    <row r="258" spans="2:14" ht="309" customHeight="1" x14ac:dyDescent="0.25">
      <c r="B258" s="76"/>
      <c r="C258" s="68"/>
      <c r="D258" s="61">
        <v>39</v>
      </c>
      <c r="E258" s="64" t="s">
        <v>556</v>
      </c>
      <c r="F258" s="2" t="s">
        <v>5</v>
      </c>
      <c r="G258" s="4" t="s">
        <v>290</v>
      </c>
      <c r="H258" s="5" t="s">
        <v>590</v>
      </c>
      <c r="I258" s="4" t="s">
        <v>589</v>
      </c>
      <c r="J258" s="5"/>
      <c r="K258" s="4"/>
      <c r="L258" s="4"/>
      <c r="M258" s="42"/>
      <c r="N258" s="9"/>
    </row>
    <row r="259" spans="2:14" ht="73.5" customHeight="1" x14ac:dyDescent="0.25">
      <c r="B259" s="76"/>
      <c r="C259" s="68"/>
      <c r="D259" s="62"/>
      <c r="E259" s="65"/>
      <c r="F259" s="2" t="s">
        <v>7</v>
      </c>
      <c r="G259" s="4" t="s">
        <v>291</v>
      </c>
      <c r="H259" s="5">
        <v>1</v>
      </c>
      <c r="I259" s="4" t="s">
        <v>557</v>
      </c>
      <c r="J259" s="5"/>
      <c r="K259" s="4"/>
      <c r="L259" s="4"/>
      <c r="M259" s="42"/>
      <c r="N259" s="10"/>
    </row>
    <row r="260" spans="2:14" ht="90.75" customHeight="1" x14ac:dyDescent="0.25">
      <c r="B260" s="76"/>
      <c r="C260" s="68"/>
      <c r="D260" s="62"/>
      <c r="E260" s="65"/>
      <c r="F260" s="2" t="s">
        <v>9</v>
      </c>
      <c r="G260" s="4" t="s">
        <v>292</v>
      </c>
      <c r="H260" s="5">
        <v>1</v>
      </c>
      <c r="I260" s="4" t="s">
        <v>558</v>
      </c>
      <c r="J260" s="5"/>
      <c r="K260" s="4"/>
      <c r="L260" s="4"/>
      <c r="M260" s="42"/>
      <c r="N260" s="10"/>
    </row>
    <row r="261" spans="2:14" ht="83.25" customHeight="1" x14ac:dyDescent="0.25">
      <c r="B261" s="77"/>
      <c r="C261" s="74"/>
      <c r="D261" s="63"/>
      <c r="E261" s="66"/>
      <c r="F261" s="2" t="s">
        <v>10</v>
      </c>
      <c r="G261" s="4" t="s">
        <v>293</v>
      </c>
      <c r="H261" s="5">
        <v>1</v>
      </c>
      <c r="I261" s="4" t="s">
        <v>559</v>
      </c>
      <c r="J261" s="5"/>
      <c r="K261" s="4"/>
      <c r="L261" s="4"/>
      <c r="M261" s="42"/>
      <c r="N261" s="11"/>
    </row>
    <row r="262" spans="2:14" ht="214.5" customHeight="1" x14ac:dyDescent="0.25">
      <c r="B262" s="75">
        <v>13</v>
      </c>
      <c r="C262" s="67" t="s">
        <v>294</v>
      </c>
      <c r="D262" s="61">
        <v>40</v>
      </c>
      <c r="E262" s="64" t="s">
        <v>295</v>
      </c>
      <c r="F262" s="2" t="s">
        <v>5</v>
      </c>
      <c r="G262" s="4" t="s">
        <v>296</v>
      </c>
      <c r="H262" s="5" t="s">
        <v>322</v>
      </c>
      <c r="I262" s="4" t="s">
        <v>743</v>
      </c>
      <c r="J262" s="5"/>
      <c r="K262" s="4"/>
      <c r="L262" s="4"/>
      <c r="M262" s="42"/>
      <c r="N262" s="9"/>
    </row>
    <row r="263" spans="2:14" ht="90" x14ac:dyDescent="0.25">
      <c r="B263" s="76"/>
      <c r="C263" s="68"/>
      <c r="D263" s="62"/>
      <c r="E263" s="65"/>
      <c r="F263" s="2" t="s">
        <v>7</v>
      </c>
      <c r="G263" s="4" t="s">
        <v>297</v>
      </c>
      <c r="H263" s="5">
        <v>1</v>
      </c>
      <c r="I263" s="4" t="s">
        <v>560</v>
      </c>
      <c r="J263" s="5"/>
      <c r="K263" s="4"/>
      <c r="L263" s="4"/>
      <c r="M263" s="42"/>
      <c r="N263" s="10"/>
    </row>
    <row r="264" spans="2:14" ht="52.5" customHeight="1" x14ac:dyDescent="0.25">
      <c r="B264" s="76"/>
      <c r="C264" s="68"/>
      <c r="D264" s="62"/>
      <c r="E264" s="65"/>
      <c r="F264" s="2" t="s">
        <v>9</v>
      </c>
      <c r="G264" s="4" t="s">
        <v>298</v>
      </c>
      <c r="H264" s="5">
        <v>1</v>
      </c>
      <c r="I264" s="4" t="s">
        <v>561</v>
      </c>
      <c r="J264" s="5"/>
      <c r="K264" s="4"/>
      <c r="L264" s="4"/>
      <c r="M264" s="42"/>
      <c r="N264" s="10"/>
    </row>
    <row r="265" spans="2:14" ht="82.5" customHeight="1" x14ac:dyDescent="0.25">
      <c r="B265" s="76"/>
      <c r="C265" s="68"/>
      <c r="D265" s="62"/>
      <c r="E265" s="65"/>
      <c r="F265" s="2" t="s">
        <v>10</v>
      </c>
      <c r="G265" s="4" t="s">
        <v>299</v>
      </c>
      <c r="H265" s="5">
        <v>1</v>
      </c>
      <c r="I265" s="4" t="s">
        <v>560</v>
      </c>
      <c r="J265" s="5"/>
      <c r="K265" s="4"/>
      <c r="L265" s="4"/>
      <c r="M265" s="42"/>
      <c r="N265" s="10"/>
    </row>
    <row r="266" spans="2:14" ht="68.25" customHeight="1" x14ac:dyDescent="0.25">
      <c r="B266" s="77"/>
      <c r="C266" s="74"/>
      <c r="D266" s="63"/>
      <c r="E266" s="66"/>
      <c r="F266" s="2" t="s">
        <v>12</v>
      </c>
      <c r="G266" s="4" t="s">
        <v>300</v>
      </c>
      <c r="H266" s="5">
        <v>1</v>
      </c>
      <c r="I266" s="4" t="s">
        <v>569</v>
      </c>
      <c r="J266" s="5"/>
      <c r="K266" s="4"/>
      <c r="L266" s="4"/>
      <c r="M266" s="42"/>
      <c r="N266" s="11"/>
    </row>
    <row r="267" spans="2:14" ht="106.5" customHeight="1" x14ac:dyDescent="0.25">
      <c r="B267" s="75">
        <v>14</v>
      </c>
      <c r="C267" s="67" t="s">
        <v>503</v>
      </c>
      <c r="D267" s="61">
        <v>41</v>
      </c>
      <c r="E267" s="64" t="s">
        <v>504</v>
      </c>
      <c r="F267" s="2" t="s">
        <v>5</v>
      </c>
      <c r="G267" s="4" t="s">
        <v>301</v>
      </c>
      <c r="H267" s="5">
        <v>1</v>
      </c>
      <c r="I267" s="4" t="s">
        <v>562</v>
      </c>
      <c r="J267" s="5"/>
      <c r="K267" s="4"/>
      <c r="L267" s="4"/>
      <c r="M267" s="42"/>
      <c r="N267" s="9"/>
    </row>
    <row r="268" spans="2:14" ht="88.5" customHeight="1" x14ac:dyDescent="0.25">
      <c r="B268" s="76"/>
      <c r="C268" s="68"/>
      <c r="D268" s="62"/>
      <c r="E268" s="65"/>
      <c r="F268" s="2" t="s">
        <v>7</v>
      </c>
      <c r="G268" s="4" t="s">
        <v>302</v>
      </c>
      <c r="H268" s="5">
        <v>1</v>
      </c>
      <c r="I268" s="4" t="s">
        <v>567</v>
      </c>
      <c r="J268" s="5"/>
      <c r="K268" s="4"/>
      <c r="L268" s="4"/>
      <c r="M268" s="42"/>
      <c r="N268" s="10"/>
    </row>
    <row r="269" spans="2:14" ht="164.25" customHeight="1" x14ac:dyDescent="0.25">
      <c r="B269" s="76"/>
      <c r="C269" s="68"/>
      <c r="D269" s="62"/>
      <c r="E269" s="65"/>
      <c r="F269" s="2" t="s">
        <v>9</v>
      </c>
      <c r="G269" s="4" t="s">
        <v>303</v>
      </c>
      <c r="H269" s="5" t="s">
        <v>319</v>
      </c>
      <c r="I269" s="4" t="s">
        <v>568</v>
      </c>
      <c r="J269" s="5"/>
      <c r="K269" s="4"/>
      <c r="L269" s="4"/>
      <c r="M269" s="42"/>
      <c r="N269" s="10"/>
    </row>
    <row r="270" spans="2:14" ht="146.25" customHeight="1" x14ac:dyDescent="0.25">
      <c r="B270" s="76"/>
      <c r="C270" s="68"/>
      <c r="D270" s="62"/>
      <c r="E270" s="65"/>
      <c r="F270" s="2" t="s">
        <v>10</v>
      </c>
      <c r="G270" s="4" t="s">
        <v>304</v>
      </c>
      <c r="H270" s="5">
        <v>1</v>
      </c>
      <c r="I270" s="4" t="s">
        <v>563</v>
      </c>
      <c r="J270" s="5"/>
      <c r="K270" s="4"/>
      <c r="L270" s="4"/>
      <c r="M270" s="42"/>
      <c r="N270" s="10"/>
    </row>
    <row r="271" spans="2:14" ht="80.25" customHeight="1" x14ac:dyDescent="0.25">
      <c r="B271" s="76"/>
      <c r="C271" s="68"/>
      <c r="D271" s="62"/>
      <c r="E271" s="65"/>
      <c r="F271" s="2" t="s">
        <v>12</v>
      </c>
      <c r="G271" s="4" t="s">
        <v>305</v>
      </c>
      <c r="H271" s="5">
        <v>1</v>
      </c>
      <c r="I271" s="4" t="s">
        <v>564</v>
      </c>
      <c r="J271" s="5"/>
      <c r="K271" s="4"/>
      <c r="L271" s="4"/>
      <c r="M271" s="42"/>
      <c r="N271" s="10"/>
    </row>
    <row r="272" spans="2:14" ht="207.75" customHeight="1" x14ac:dyDescent="0.25">
      <c r="B272" s="76"/>
      <c r="C272" s="68"/>
      <c r="D272" s="62"/>
      <c r="E272" s="65"/>
      <c r="F272" s="2" t="s">
        <v>13</v>
      </c>
      <c r="G272" s="4" t="s">
        <v>306</v>
      </c>
      <c r="H272" s="5" t="s">
        <v>565</v>
      </c>
      <c r="I272" s="4" t="s">
        <v>566</v>
      </c>
      <c r="J272" s="5"/>
      <c r="K272" s="4"/>
      <c r="L272" s="4"/>
      <c r="M272" s="42"/>
      <c r="N272" s="10"/>
    </row>
    <row r="273" spans="2:14" ht="99.75" customHeight="1" x14ac:dyDescent="0.25">
      <c r="B273" s="76"/>
      <c r="C273" s="68"/>
      <c r="D273" s="62"/>
      <c r="E273" s="65"/>
      <c r="F273" s="2" t="s">
        <v>14</v>
      </c>
      <c r="G273" s="4" t="s">
        <v>576</v>
      </c>
      <c r="H273" s="5" t="s">
        <v>343</v>
      </c>
      <c r="I273" s="4" t="s">
        <v>577</v>
      </c>
      <c r="J273" s="5"/>
      <c r="K273" s="4"/>
      <c r="L273" s="4"/>
      <c r="M273" s="42"/>
      <c r="N273" s="10"/>
    </row>
    <row r="274" spans="2:14" ht="99" customHeight="1" x14ac:dyDescent="0.25">
      <c r="B274" s="76"/>
      <c r="C274" s="68"/>
      <c r="D274" s="62"/>
      <c r="E274" s="65"/>
      <c r="F274" s="2" t="s">
        <v>35</v>
      </c>
      <c r="G274" s="4" t="s">
        <v>307</v>
      </c>
      <c r="H274" s="5">
        <v>1</v>
      </c>
      <c r="I274" s="4" t="s">
        <v>578</v>
      </c>
      <c r="J274" s="5"/>
      <c r="K274" s="4"/>
      <c r="L274" s="4"/>
      <c r="M274" s="42"/>
      <c r="N274" s="10"/>
    </row>
    <row r="275" spans="2:14" ht="55.5" customHeight="1" x14ac:dyDescent="0.25">
      <c r="B275" s="77"/>
      <c r="C275" s="74"/>
      <c r="D275" s="63"/>
      <c r="E275" s="66"/>
      <c r="F275" s="2" t="s">
        <v>36</v>
      </c>
      <c r="G275" s="4" t="s">
        <v>308</v>
      </c>
      <c r="H275" s="5">
        <v>1</v>
      </c>
      <c r="I275" s="4" t="s">
        <v>579</v>
      </c>
      <c r="J275" s="5"/>
      <c r="K275" s="4"/>
      <c r="L275" s="4"/>
      <c r="M275" s="42"/>
      <c r="N275" s="11"/>
    </row>
    <row r="276" spans="2:14" ht="278.25" customHeight="1" x14ac:dyDescent="0.25">
      <c r="B276" s="75">
        <v>15</v>
      </c>
      <c r="C276" s="67" t="s">
        <v>309</v>
      </c>
      <c r="D276" s="61">
        <v>42</v>
      </c>
      <c r="E276" s="64" t="s">
        <v>310</v>
      </c>
      <c r="F276" s="2" t="s">
        <v>5</v>
      </c>
      <c r="G276" s="4" t="s">
        <v>311</v>
      </c>
      <c r="H276" s="5" t="s">
        <v>580</v>
      </c>
      <c r="I276" s="4" t="s">
        <v>588</v>
      </c>
      <c r="J276" s="5"/>
      <c r="K276" s="4"/>
      <c r="L276" s="4"/>
      <c r="M276" s="42"/>
      <c r="N276" s="9"/>
    </row>
    <row r="277" spans="2:14" ht="156.75" customHeight="1" x14ac:dyDescent="0.25">
      <c r="B277" s="76"/>
      <c r="C277" s="68"/>
      <c r="D277" s="62"/>
      <c r="E277" s="65"/>
      <c r="F277" s="2" t="s">
        <v>7</v>
      </c>
      <c r="G277" s="4" t="s">
        <v>312</v>
      </c>
      <c r="H277" s="5" t="s">
        <v>352</v>
      </c>
      <c r="I277" s="4" t="s">
        <v>582</v>
      </c>
      <c r="J277" s="5"/>
      <c r="K277" s="4"/>
      <c r="L277" s="4"/>
      <c r="M277" s="42"/>
      <c r="N277" s="10"/>
    </row>
    <row r="278" spans="2:14" ht="71.25" customHeight="1" x14ac:dyDescent="0.25">
      <c r="B278" s="76"/>
      <c r="C278" s="68"/>
      <c r="D278" s="62"/>
      <c r="E278" s="65"/>
      <c r="F278" s="2" t="s">
        <v>9</v>
      </c>
      <c r="G278" s="4" t="s">
        <v>313</v>
      </c>
      <c r="H278" s="5">
        <v>1</v>
      </c>
      <c r="I278" s="4" t="s">
        <v>581</v>
      </c>
      <c r="J278" s="5"/>
      <c r="K278" s="4"/>
      <c r="L278" s="4"/>
      <c r="M278" s="42"/>
      <c r="N278" s="10"/>
    </row>
    <row r="279" spans="2:14" ht="90.75" customHeight="1" x14ac:dyDescent="0.25">
      <c r="B279" s="76"/>
      <c r="C279" s="68"/>
      <c r="D279" s="62"/>
      <c r="E279" s="65"/>
      <c r="F279" s="2" t="s">
        <v>10</v>
      </c>
      <c r="G279" s="4" t="s">
        <v>314</v>
      </c>
      <c r="H279" s="5"/>
      <c r="I279" s="4" t="s">
        <v>583</v>
      </c>
      <c r="J279" s="5"/>
      <c r="K279" s="4"/>
      <c r="L279" s="4"/>
      <c r="M279" s="42"/>
      <c r="N279" s="10"/>
    </row>
    <row r="280" spans="2:14" ht="51" customHeight="1" x14ac:dyDescent="0.25">
      <c r="B280" s="76"/>
      <c r="C280" s="68"/>
      <c r="D280" s="62"/>
      <c r="E280" s="65"/>
      <c r="F280" s="2" t="s">
        <v>12</v>
      </c>
      <c r="G280" s="4" t="s">
        <v>315</v>
      </c>
      <c r="H280" s="5">
        <v>1</v>
      </c>
      <c r="I280" s="4" t="s">
        <v>584</v>
      </c>
      <c r="J280" s="5"/>
      <c r="K280" s="4"/>
      <c r="L280" s="4"/>
      <c r="M280" s="42"/>
      <c r="N280" s="10"/>
    </row>
    <row r="281" spans="2:14" ht="51" customHeight="1" x14ac:dyDescent="0.25">
      <c r="B281" s="76"/>
      <c r="C281" s="68"/>
      <c r="D281" s="62"/>
      <c r="E281" s="65"/>
      <c r="F281" s="2" t="s">
        <v>13</v>
      </c>
      <c r="G281" s="4" t="s">
        <v>316</v>
      </c>
      <c r="H281" s="5" t="s">
        <v>352</v>
      </c>
      <c r="I281" s="4" t="s">
        <v>585</v>
      </c>
      <c r="J281" s="5"/>
      <c r="K281" s="4"/>
      <c r="L281" s="4"/>
      <c r="M281" s="42"/>
      <c r="N281" s="10"/>
    </row>
    <row r="282" spans="2:14" ht="115.5" customHeight="1" x14ac:dyDescent="0.25">
      <c r="B282" s="76"/>
      <c r="C282" s="68"/>
      <c r="D282" s="62"/>
      <c r="E282" s="65"/>
      <c r="F282" s="2" t="s">
        <v>14</v>
      </c>
      <c r="G282" s="4" t="s">
        <v>616</v>
      </c>
      <c r="H282" s="5">
        <v>1</v>
      </c>
      <c r="I282" s="4" t="s">
        <v>617</v>
      </c>
      <c r="J282" s="5"/>
      <c r="K282" s="4"/>
      <c r="L282" s="4"/>
      <c r="M282" s="42"/>
      <c r="N282" s="10"/>
    </row>
    <row r="283" spans="2:14" ht="93.75" customHeight="1" x14ac:dyDescent="0.25">
      <c r="B283" s="77"/>
      <c r="C283" s="74"/>
      <c r="D283" s="63"/>
      <c r="E283" s="66"/>
      <c r="F283" s="2" t="s">
        <v>13</v>
      </c>
      <c r="G283" s="4" t="s">
        <v>618</v>
      </c>
      <c r="H283" s="2">
        <v>1</v>
      </c>
      <c r="I283" s="7" t="s">
        <v>619</v>
      </c>
      <c r="J283" s="5"/>
      <c r="K283" s="4"/>
      <c r="L283" s="4"/>
      <c r="M283" s="42"/>
      <c r="N283" s="11"/>
    </row>
    <row r="284" spans="2:14" x14ac:dyDescent="0.25">
      <c r="F284" s="3"/>
    </row>
  </sheetData>
  <mergeCells count="119">
    <mergeCell ref="E267:E275"/>
    <mergeCell ref="D267:D275"/>
    <mergeCell ref="C267:C275"/>
    <mergeCell ref="B267:B275"/>
    <mergeCell ref="E276:E283"/>
    <mergeCell ref="D276:D283"/>
    <mergeCell ref="C276:C283"/>
    <mergeCell ref="B276:B283"/>
    <mergeCell ref="C230:C247"/>
    <mergeCell ref="B230:B247"/>
    <mergeCell ref="E248:E257"/>
    <mergeCell ref="D248:D257"/>
    <mergeCell ref="E258:E261"/>
    <mergeCell ref="D258:D261"/>
    <mergeCell ref="C248:C261"/>
    <mergeCell ref="B248:B261"/>
    <mergeCell ref="E262:E266"/>
    <mergeCell ref="D262:D266"/>
    <mergeCell ref="C262:C266"/>
    <mergeCell ref="B262:B266"/>
    <mergeCell ref="E219:E229"/>
    <mergeCell ref="D219:D229"/>
    <mergeCell ref="C219:C229"/>
    <mergeCell ref="B219:B229"/>
    <mergeCell ref="E235:E241"/>
    <mergeCell ref="D235:D241"/>
    <mergeCell ref="E230:E234"/>
    <mergeCell ref="D230:D234"/>
    <mergeCell ref="E242:E247"/>
    <mergeCell ref="D242:D247"/>
    <mergeCell ref="B194:B200"/>
    <mergeCell ref="B171:B193"/>
    <mergeCell ref="C171:C193"/>
    <mergeCell ref="E208:E218"/>
    <mergeCell ref="D208:D218"/>
    <mergeCell ref="E201:E207"/>
    <mergeCell ref="D201:D207"/>
    <mergeCell ref="C201:C218"/>
    <mergeCell ref="B201:B218"/>
    <mergeCell ref="E184:E189"/>
    <mergeCell ref="D184:D189"/>
    <mergeCell ref="E194:E200"/>
    <mergeCell ref="D194:D200"/>
    <mergeCell ref="C194:C200"/>
    <mergeCell ref="E171:E178"/>
    <mergeCell ref="D171:D178"/>
    <mergeCell ref="E179:E183"/>
    <mergeCell ref="D179:D183"/>
    <mergeCell ref="E190:E193"/>
    <mergeCell ref="D190:D193"/>
    <mergeCell ref="B28:B42"/>
    <mergeCell ref="E150:E152"/>
    <mergeCell ref="D150:D152"/>
    <mergeCell ref="D53:D59"/>
    <mergeCell ref="E60:E65"/>
    <mergeCell ref="E66:E74"/>
    <mergeCell ref="F2:G2"/>
    <mergeCell ref="B3:B9"/>
    <mergeCell ref="C3:C9"/>
    <mergeCell ref="D3:D9"/>
    <mergeCell ref="E3:E9"/>
    <mergeCell ref="B2:C2"/>
    <mergeCell ref="D2:E2"/>
    <mergeCell ref="B10:B27"/>
    <mergeCell ref="C10:C27"/>
    <mergeCell ref="D10:D16"/>
    <mergeCell ref="E10:E16"/>
    <mergeCell ref="D17:D27"/>
    <mergeCell ref="E17:E27"/>
    <mergeCell ref="B87:B132"/>
    <mergeCell ref="D37:D42"/>
    <mergeCell ref="E37:E42"/>
    <mergeCell ref="B43:B86"/>
    <mergeCell ref="E53:E59"/>
    <mergeCell ref="B133:B170"/>
    <mergeCell ref="E108:E113"/>
    <mergeCell ref="D108:D113"/>
    <mergeCell ref="E168:E170"/>
    <mergeCell ref="D168:D170"/>
    <mergeCell ref="E159:E167"/>
    <mergeCell ref="D159:D167"/>
    <mergeCell ref="E153:E158"/>
    <mergeCell ref="D153:D158"/>
    <mergeCell ref="E144:E149"/>
    <mergeCell ref="D144:D149"/>
    <mergeCell ref="E138:E143"/>
    <mergeCell ref="D138:D143"/>
    <mergeCell ref="E133:E137"/>
    <mergeCell ref="D133:D137"/>
    <mergeCell ref="E114:E118"/>
    <mergeCell ref="D114:D118"/>
    <mergeCell ref="E119:E127"/>
    <mergeCell ref="D119:D127"/>
    <mergeCell ref="E128:E132"/>
    <mergeCell ref="D128:D132"/>
    <mergeCell ref="D43:D49"/>
    <mergeCell ref="E43:E49"/>
    <mergeCell ref="D50:D52"/>
    <mergeCell ref="E50:E52"/>
    <mergeCell ref="D66:D74"/>
    <mergeCell ref="C87:C132"/>
    <mergeCell ref="H2:I2"/>
    <mergeCell ref="J2:K2"/>
    <mergeCell ref="C133:C170"/>
    <mergeCell ref="E101:E107"/>
    <mergeCell ref="D101:D107"/>
    <mergeCell ref="E83:E86"/>
    <mergeCell ref="D83:D86"/>
    <mergeCell ref="E94:E100"/>
    <mergeCell ref="D94:D100"/>
    <mergeCell ref="D60:D65"/>
    <mergeCell ref="E75:E82"/>
    <mergeCell ref="D75:D82"/>
    <mergeCell ref="C28:C42"/>
    <mergeCell ref="D28:D36"/>
    <mergeCell ref="E28:E36"/>
    <mergeCell ref="C43:C86"/>
    <mergeCell ref="E87:E93"/>
    <mergeCell ref="D87:D93"/>
  </mergeCells>
  <pageMargins left="0.7" right="0.7" top="0.75" bottom="0.75" header="0.3" footer="0.3"/>
  <pageSetup paperSize="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4A135-F31C-492D-BA70-530B63686237}">
  <dimension ref="B2:I47"/>
  <sheetViews>
    <sheetView showGridLines="0" workbookViewId="0">
      <selection activeCell="G25" sqref="G25"/>
    </sheetView>
  </sheetViews>
  <sheetFormatPr defaultRowHeight="15" x14ac:dyDescent="0.25"/>
  <cols>
    <col min="2" max="2" width="6.28515625" customWidth="1"/>
    <col min="3" max="3" width="25" customWidth="1"/>
    <col min="4" max="4" width="5.140625" customWidth="1"/>
    <col min="5" max="5" width="22.28515625" customWidth="1"/>
    <col min="6" max="6" width="5.5703125" customWidth="1"/>
    <col min="7" max="7" width="33.7109375" customWidth="1"/>
    <col min="8" max="8" width="13" customWidth="1"/>
    <col min="9" max="9" width="12.5703125" customWidth="1"/>
  </cols>
  <sheetData>
    <row r="2" spans="2:9" ht="30" x14ac:dyDescent="0.25">
      <c r="B2" s="82" t="s">
        <v>651</v>
      </c>
      <c r="C2" s="83"/>
      <c r="D2" s="82" t="s">
        <v>0</v>
      </c>
      <c r="E2" s="83"/>
      <c r="F2" s="82" t="s">
        <v>1</v>
      </c>
      <c r="G2" s="83"/>
      <c r="H2" s="15" t="s">
        <v>652</v>
      </c>
      <c r="I2" s="15" t="s">
        <v>653</v>
      </c>
    </row>
    <row r="3" spans="2:9" ht="30" x14ac:dyDescent="0.25">
      <c r="B3" s="84">
        <v>1</v>
      </c>
      <c r="C3" s="87" t="s">
        <v>654</v>
      </c>
      <c r="D3" s="2" t="s">
        <v>5</v>
      </c>
      <c r="E3" s="16" t="s">
        <v>655</v>
      </c>
      <c r="F3" s="2">
        <v>1</v>
      </c>
      <c r="G3" s="7" t="s">
        <v>656</v>
      </c>
      <c r="H3" s="17">
        <f>'Reviu Dokumen'!N3</f>
        <v>0</v>
      </c>
      <c r="I3" s="18">
        <f>AVERAGE(H3:H5)</f>
        <v>0</v>
      </c>
    </row>
    <row r="4" spans="2:9" ht="45" x14ac:dyDescent="0.25">
      <c r="B4" s="85"/>
      <c r="C4" s="88"/>
      <c r="D4" s="84" t="s">
        <v>7</v>
      </c>
      <c r="E4" s="90" t="s">
        <v>741</v>
      </c>
      <c r="F4" s="2">
        <v>2</v>
      </c>
      <c r="G4" s="7" t="s">
        <v>657</v>
      </c>
      <c r="H4" s="17">
        <f>'Reviu Dokumen'!N10</f>
        <v>0</v>
      </c>
      <c r="I4" s="19"/>
    </row>
    <row r="5" spans="2:9" ht="30" x14ac:dyDescent="0.25">
      <c r="B5" s="86"/>
      <c r="C5" s="89"/>
      <c r="D5" s="86"/>
      <c r="E5" s="91"/>
      <c r="F5" s="2">
        <v>3</v>
      </c>
      <c r="G5" s="7" t="s">
        <v>658</v>
      </c>
      <c r="H5" s="17">
        <f>'Reviu Dokumen'!N17</f>
        <v>0</v>
      </c>
      <c r="I5" s="20"/>
    </row>
    <row r="6" spans="2:9" x14ac:dyDescent="0.25">
      <c r="B6" s="84">
        <v>2</v>
      </c>
      <c r="C6" s="87" t="s">
        <v>659</v>
      </c>
      <c r="D6" s="92" t="s">
        <v>5</v>
      </c>
      <c r="E6" s="93" t="s">
        <v>660</v>
      </c>
      <c r="F6" s="2">
        <v>4</v>
      </c>
      <c r="G6" s="7" t="s">
        <v>661</v>
      </c>
      <c r="H6" s="17">
        <f>'Reviu Dokumen'!N28</f>
        <v>0</v>
      </c>
      <c r="I6" s="18">
        <f>AVERAGE(H6:H21)</f>
        <v>0</v>
      </c>
    </row>
    <row r="7" spans="2:9" ht="30" x14ac:dyDescent="0.25">
      <c r="B7" s="85"/>
      <c r="C7" s="88"/>
      <c r="D7" s="92"/>
      <c r="E7" s="93"/>
      <c r="F7" s="2">
        <v>5</v>
      </c>
      <c r="G7" s="7" t="s">
        <v>662</v>
      </c>
      <c r="H7" s="17">
        <f>'Reviu Dokumen'!N37</f>
        <v>0</v>
      </c>
      <c r="I7" s="19"/>
    </row>
    <row r="8" spans="2:9" ht="30" x14ac:dyDescent="0.25">
      <c r="B8" s="85"/>
      <c r="C8" s="88"/>
      <c r="D8" s="84" t="s">
        <v>7</v>
      </c>
      <c r="E8" s="87" t="s">
        <v>663</v>
      </c>
      <c r="F8" s="2">
        <v>6</v>
      </c>
      <c r="G8" s="7" t="s">
        <v>664</v>
      </c>
      <c r="H8" s="17">
        <f>'Reviu Dokumen'!N43</f>
        <v>0</v>
      </c>
      <c r="I8" s="19"/>
    </row>
    <row r="9" spans="2:9" ht="30" x14ac:dyDescent="0.25">
      <c r="B9" s="85"/>
      <c r="C9" s="88"/>
      <c r="D9" s="85"/>
      <c r="E9" s="88"/>
      <c r="F9" s="2">
        <v>7</v>
      </c>
      <c r="G9" s="7" t="s">
        <v>665</v>
      </c>
      <c r="H9" s="17">
        <f>'Reviu Dokumen'!N50</f>
        <v>0</v>
      </c>
      <c r="I9" s="19"/>
    </row>
    <row r="10" spans="2:9" ht="30" x14ac:dyDescent="0.25">
      <c r="B10" s="85"/>
      <c r="C10" s="88"/>
      <c r="D10" s="85"/>
      <c r="E10" s="88"/>
      <c r="F10" s="2">
        <v>8</v>
      </c>
      <c r="G10" s="7" t="s">
        <v>666</v>
      </c>
      <c r="H10" s="17">
        <f>'Reviu Dokumen'!N53</f>
        <v>0</v>
      </c>
      <c r="I10" s="19"/>
    </row>
    <row r="11" spans="2:9" ht="30" x14ac:dyDescent="0.25">
      <c r="B11" s="85"/>
      <c r="C11" s="88"/>
      <c r="D11" s="85"/>
      <c r="E11" s="88"/>
      <c r="F11" s="2">
        <v>9</v>
      </c>
      <c r="G11" s="7" t="s">
        <v>667</v>
      </c>
      <c r="H11" s="17">
        <f>'Reviu Dokumen'!N60</f>
        <v>0</v>
      </c>
      <c r="I11" s="19"/>
    </row>
    <row r="12" spans="2:9" ht="30" x14ac:dyDescent="0.25">
      <c r="B12" s="85"/>
      <c r="C12" s="88"/>
      <c r="D12" s="85"/>
      <c r="E12" s="88"/>
      <c r="F12" s="2">
        <v>10</v>
      </c>
      <c r="G12" s="7" t="s">
        <v>668</v>
      </c>
      <c r="H12" s="17">
        <f>'Reviu Dokumen'!N66</f>
        <v>0</v>
      </c>
      <c r="I12" s="19"/>
    </row>
    <row r="13" spans="2:9" ht="45" x14ac:dyDescent="0.25">
      <c r="B13" s="85"/>
      <c r="C13" s="88"/>
      <c r="D13" s="85"/>
      <c r="E13" s="88"/>
      <c r="F13" s="2">
        <v>11</v>
      </c>
      <c r="G13" s="7" t="s">
        <v>669</v>
      </c>
      <c r="H13" s="17">
        <f>'Reviu Dokumen'!N75</f>
        <v>0</v>
      </c>
      <c r="I13" s="19"/>
    </row>
    <row r="14" spans="2:9" ht="30" x14ac:dyDescent="0.25">
      <c r="B14" s="85"/>
      <c r="C14" s="88"/>
      <c r="D14" s="86"/>
      <c r="E14" s="89"/>
      <c r="F14" s="2">
        <v>12</v>
      </c>
      <c r="G14" s="7" t="s">
        <v>670</v>
      </c>
      <c r="H14" s="17">
        <f>'Reviu Dokumen'!N83</f>
        <v>0</v>
      </c>
      <c r="I14" s="19"/>
    </row>
    <row r="15" spans="2:9" ht="30" x14ac:dyDescent="0.25">
      <c r="B15" s="85"/>
      <c r="C15" s="88"/>
      <c r="D15" s="84" t="s">
        <v>9</v>
      </c>
      <c r="E15" s="87" t="s">
        <v>671</v>
      </c>
      <c r="F15" s="2">
        <v>13</v>
      </c>
      <c r="G15" s="7" t="s">
        <v>672</v>
      </c>
      <c r="H15" s="17">
        <f>'Reviu Dokumen'!N87</f>
        <v>0</v>
      </c>
      <c r="I15" s="19"/>
    </row>
    <row r="16" spans="2:9" x14ac:dyDescent="0.25">
      <c r="B16" s="85"/>
      <c r="C16" s="88"/>
      <c r="D16" s="85"/>
      <c r="E16" s="88"/>
      <c r="F16" s="2">
        <v>14</v>
      </c>
      <c r="G16" s="7" t="s">
        <v>673</v>
      </c>
      <c r="H16" s="17">
        <f>'Reviu Dokumen'!N94</f>
        <v>0</v>
      </c>
      <c r="I16" s="19"/>
    </row>
    <row r="17" spans="2:9" x14ac:dyDescent="0.25">
      <c r="B17" s="85"/>
      <c r="C17" s="88"/>
      <c r="D17" s="85"/>
      <c r="E17" s="88"/>
      <c r="F17" s="2">
        <v>15</v>
      </c>
      <c r="G17" s="7" t="s">
        <v>674</v>
      </c>
      <c r="H17" s="17">
        <f>'Reviu Dokumen'!N101</f>
        <v>0</v>
      </c>
      <c r="I17" s="19"/>
    </row>
    <row r="18" spans="2:9" x14ac:dyDescent="0.25">
      <c r="B18" s="85"/>
      <c r="C18" s="88"/>
      <c r="D18" s="85"/>
      <c r="E18" s="88"/>
      <c r="F18" s="2">
        <v>16</v>
      </c>
      <c r="G18" s="7" t="s">
        <v>675</v>
      </c>
      <c r="H18" s="17">
        <f>'Reviu Dokumen'!N108</f>
        <v>0</v>
      </c>
      <c r="I18" s="19"/>
    </row>
    <row r="19" spans="2:9" ht="30" x14ac:dyDescent="0.25">
      <c r="B19" s="85"/>
      <c r="C19" s="88"/>
      <c r="D19" s="85"/>
      <c r="E19" s="88"/>
      <c r="F19" s="2">
        <v>17</v>
      </c>
      <c r="G19" s="7" t="s">
        <v>676</v>
      </c>
      <c r="H19" s="17">
        <f>'Reviu Dokumen'!N114</f>
        <v>0</v>
      </c>
      <c r="I19" s="19"/>
    </row>
    <row r="20" spans="2:9" ht="30" x14ac:dyDescent="0.25">
      <c r="B20" s="85"/>
      <c r="C20" s="88"/>
      <c r="D20" s="85"/>
      <c r="E20" s="88"/>
      <c r="F20" s="2">
        <v>18</v>
      </c>
      <c r="G20" s="7" t="s">
        <v>677</v>
      </c>
      <c r="H20" s="17">
        <f>'Reviu Dokumen'!N119</f>
        <v>0</v>
      </c>
      <c r="I20" s="19"/>
    </row>
    <row r="21" spans="2:9" ht="30" x14ac:dyDescent="0.25">
      <c r="B21" s="86"/>
      <c r="C21" s="89"/>
      <c r="D21" s="86"/>
      <c r="E21" s="89"/>
      <c r="F21" s="2">
        <v>19</v>
      </c>
      <c r="G21" s="7" t="s">
        <v>678</v>
      </c>
      <c r="H21" s="17">
        <f>'Reviu Dokumen'!N128</f>
        <v>0</v>
      </c>
      <c r="I21" s="20"/>
    </row>
    <row r="22" spans="2:9" ht="30" x14ac:dyDescent="0.25">
      <c r="B22" s="84">
        <v>3</v>
      </c>
      <c r="C22" s="87" t="s">
        <v>718</v>
      </c>
      <c r="D22" s="84" t="s">
        <v>5</v>
      </c>
      <c r="E22" s="90" t="s">
        <v>679</v>
      </c>
      <c r="F22" s="2">
        <v>20</v>
      </c>
      <c r="G22" s="7" t="s">
        <v>680</v>
      </c>
      <c r="H22" s="17">
        <f>'Reviu Dokumen'!N133</f>
        <v>0</v>
      </c>
      <c r="I22" s="18">
        <f>AVERAGE(H22:H35)</f>
        <v>0</v>
      </c>
    </row>
    <row r="23" spans="2:9" ht="30" x14ac:dyDescent="0.25">
      <c r="B23" s="85"/>
      <c r="C23" s="88"/>
      <c r="D23" s="85"/>
      <c r="E23" s="94"/>
      <c r="F23" s="2">
        <v>21</v>
      </c>
      <c r="G23" s="7" t="s">
        <v>681</v>
      </c>
      <c r="H23" s="17">
        <f>'Reviu Dokumen'!N138</f>
        <v>0</v>
      </c>
      <c r="I23" s="19"/>
    </row>
    <row r="24" spans="2:9" ht="30" x14ac:dyDescent="0.25">
      <c r="B24" s="85"/>
      <c r="C24" s="88"/>
      <c r="D24" s="85"/>
      <c r="E24" s="94"/>
      <c r="F24" s="2">
        <v>22</v>
      </c>
      <c r="G24" s="7" t="s">
        <v>764</v>
      </c>
      <c r="H24" s="17">
        <f>'Reviu Dokumen'!N144</f>
        <v>0</v>
      </c>
      <c r="I24" s="19"/>
    </row>
    <row r="25" spans="2:9" ht="45" x14ac:dyDescent="0.25">
      <c r="B25" s="85"/>
      <c r="C25" s="88"/>
      <c r="D25" s="85"/>
      <c r="E25" s="94"/>
      <c r="F25" s="2">
        <v>23</v>
      </c>
      <c r="G25" s="7" t="s">
        <v>682</v>
      </c>
      <c r="H25" s="17">
        <f>'Reviu Dokumen'!N150</f>
        <v>0</v>
      </c>
      <c r="I25" s="19"/>
    </row>
    <row r="26" spans="2:9" x14ac:dyDescent="0.25">
      <c r="B26" s="85"/>
      <c r="C26" s="88"/>
      <c r="D26" s="85"/>
      <c r="E26" s="94"/>
      <c r="F26" s="2">
        <v>24</v>
      </c>
      <c r="G26" s="7" t="s">
        <v>683</v>
      </c>
      <c r="H26" s="17">
        <f>'Reviu Dokumen'!N153</f>
        <v>0</v>
      </c>
      <c r="I26" s="19"/>
    </row>
    <row r="27" spans="2:9" x14ac:dyDescent="0.25">
      <c r="B27" s="85"/>
      <c r="C27" s="88"/>
      <c r="D27" s="85"/>
      <c r="E27" s="94"/>
      <c r="F27" s="2">
        <v>25</v>
      </c>
      <c r="G27" s="7" t="s">
        <v>684</v>
      </c>
      <c r="H27" s="17">
        <f>'Reviu Dokumen'!N159</f>
        <v>0</v>
      </c>
      <c r="I27" s="19"/>
    </row>
    <row r="28" spans="2:9" ht="30" x14ac:dyDescent="0.25">
      <c r="B28" s="85"/>
      <c r="C28" s="88"/>
      <c r="D28" s="86"/>
      <c r="E28" s="91"/>
      <c r="F28" s="2">
        <v>26</v>
      </c>
      <c r="G28" s="7" t="s">
        <v>685</v>
      </c>
      <c r="H28" s="17">
        <f>'Reviu Dokumen'!N168</f>
        <v>0</v>
      </c>
      <c r="I28" s="19"/>
    </row>
    <row r="29" spans="2:9" x14ac:dyDescent="0.25">
      <c r="B29" s="85"/>
      <c r="C29" s="88"/>
      <c r="D29" s="84" t="s">
        <v>7</v>
      </c>
      <c r="E29" s="90" t="s">
        <v>189</v>
      </c>
      <c r="F29" s="2">
        <v>27</v>
      </c>
      <c r="G29" s="7" t="s">
        <v>686</v>
      </c>
      <c r="H29" s="17">
        <f>'Reviu Dokumen'!N171</f>
        <v>0</v>
      </c>
      <c r="I29" s="19"/>
    </row>
    <row r="30" spans="2:9" x14ac:dyDescent="0.25">
      <c r="B30" s="85"/>
      <c r="C30" s="88"/>
      <c r="D30" s="85"/>
      <c r="E30" s="94"/>
      <c r="F30" s="2">
        <v>28</v>
      </c>
      <c r="G30" s="7" t="s">
        <v>687</v>
      </c>
      <c r="H30" s="17">
        <f>'Reviu Dokumen'!N179</f>
        <v>0</v>
      </c>
      <c r="I30" s="19"/>
    </row>
    <row r="31" spans="2:9" ht="45" x14ac:dyDescent="0.25">
      <c r="B31" s="85"/>
      <c r="C31" s="88"/>
      <c r="D31" s="85"/>
      <c r="E31" s="94"/>
      <c r="F31" s="2">
        <v>29</v>
      </c>
      <c r="G31" s="7" t="s">
        <v>688</v>
      </c>
      <c r="H31" s="17">
        <f>'Reviu Dokumen'!N184</f>
        <v>0</v>
      </c>
      <c r="I31" s="19"/>
    </row>
    <row r="32" spans="2:9" ht="30" x14ac:dyDescent="0.25">
      <c r="B32" s="85"/>
      <c r="C32" s="88"/>
      <c r="D32" s="86"/>
      <c r="E32" s="91"/>
      <c r="F32" s="2">
        <v>30</v>
      </c>
      <c r="G32" s="7" t="s">
        <v>689</v>
      </c>
      <c r="H32" s="17">
        <f>'Reviu Dokumen'!N190</f>
        <v>0</v>
      </c>
      <c r="I32" s="19"/>
    </row>
    <row r="33" spans="2:9" ht="30" x14ac:dyDescent="0.25">
      <c r="B33" s="85"/>
      <c r="C33" s="88"/>
      <c r="D33" s="2" t="s">
        <v>9</v>
      </c>
      <c r="E33" s="16" t="s">
        <v>690</v>
      </c>
      <c r="F33" s="2">
        <v>31</v>
      </c>
      <c r="G33" s="7" t="s">
        <v>691</v>
      </c>
      <c r="H33" s="17">
        <f>'Reviu Dokumen'!N194</f>
        <v>0</v>
      </c>
      <c r="I33" s="19"/>
    </row>
    <row r="34" spans="2:9" x14ac:dyDescent="0.25">
      <c r="B34" s="85"/>
      <c r="C34" s="88"/>
      <c r="D34" s="84" t="s">
        <v>10</v>
      </c>
      <c r="E34" s="87" t="s">
        <v>692</v>
      </c>
      <c r="F34" s="2">
        <v>32</v>
      </c>
      <c r="G34" s="7" t="s">
        <v>693</v>
      </c>
      <c r="H34" s="17">
        <f>'Reviu Dokumen'!N201</f>
        <v>0</v>
      </c>
      <c r="I34" s="19"/>
    </row>
    <row r="35" spans="2:9" ht="36" customHeight="1" x14ac:dyDescent="0.25">
      <c r="B35" s="86"/>
      <c r="C35" s="89"/>
      <c r="D35" s="86"/>
      <c r="E35" s="89"/>
      <c r="F35" s="2">
        <v>33</v>
      </c>
      <c r="G35" s="7" t="s">
        <v>694</v>
      </c>
      <c r="H35" s="17">
        <f>'Reviu Dokumen'!N208</f>
        <v>0</v>
      </c>
      <c r="I35" s="20"/>
    </row>
    <row r="36" spans="2:9" x14ac:dyDescent="0.25">
      <c r="B36" s="84">
        <v>4</v>
      </c>
      <c r="C36" s="90" t="s">
        <v>720</v>
      </c>
      <c r="D36" s="2" t="s">
        <v>5</v>
      </c>
      <c r="E36" s="16" t="s">
        <v>243</v>
      </c>
      <c r="F36" s="2">
        <v>34</v>
      </c>
      <c r="G36" s="7" t="s">
        <v>695</v>
      </c>
      <c r="H36" s="17">
        <f>'Reviu Dokumen'!N219</f>
        <v>0</v>
      </c>
      <c r="I36" s="18">
        <f>AVERAGE(H36:H42)</f>
        <v>0</v>
      </c>
    </row>
    <row r="37" spans="2:9" x14ac:dyDescent="0.25">
      <c r="B37" s="85"/>
      <c r="C37" s="94"/>
      <c r="D37" s="92" t="s">
        <v>7</v>
      </c>
      <c r="E37" s="87" t="s">
        <v>696</v>
      </c>
      <c r="F37" s="2">
        <v>35</v>
      </c>
      <c r="G37" s="7" t="s">
        <v>697</v>
      </c>
      <c r="H37" s="17">
        <f>'Reviu Dokumen'!N230</f>
        <v>0</v>
      </c>
      <c r="I37" s="19"/>
    </row>
    <row r="38" spans="2:9" ht="30" x14ac:dyDescent="0.25">
      <c r="B38" s="85"/>
      <c r="C38" s="94"/>
      <c r="D38" s="92"/>
      <c r="E38" s="88"/>
      <c r="F38" s="2">
        <v>36</v>
      </c>
      <c r="G38" s="7" t="s">
        <v>698</v>
      </c>
      <c r="H38" s="17">
        <f>'Reviu Dokumen'!N235</f>
        <v>0</v>
      </c>
      <c r="I38" s="19"/>
    </row>
    <row r="39" spans="2:9" ht="30" x14ac:dyDescent="0.25">
      <c r="B39" s="85"/>
      <c r="C39" s="94"/>
      <c r="D39" s="92"/>
      <c r="E39" s="89"/>
      <c r="F39" s="2">
        <v>37</v>
      </c>
      <c r="G39" s="7" t="s">
        <v>699</v>
      </c>
      <c r="H39" s="17">
        <f>'Reviu Dokumen'!N242</f>
        <v>0</v>
      </c>
      <c r="I39" s="19"/>
    </row>
    <row r="40" spans="2:9" ht="30" x14ac:dyDescent="0.25">
      <c r="B40" s="85"/>
      <c r="C40" s="94"/>
      <c r="D40" s="84" t="s">
        <v>9</v>
      </c>
      <c r="E40" s="90" t="s">
        <v>700</v>
      </c>
      <c r="F40" s="2">
        <v>38</v>
      </c>
      <c r="G40" s="7" t="s">
        <v>701</v>
      </c>
      <c r="H40" s="17">
        <f>'Reviu Dokumen'!N248</f>
        <v>0</v>
      </c>
      <c r="I40" s="19"/>
    </row>
    <row r="41" spans="2:9" ht="45" x14ac:dyDescent="0.25">
      <c r="B41" s="85"/>
      <c r="C41" s="94"/>
      <c r="D41" s="86"/>
      <c r="E41" s="91"/>
      <c r="F41" s="2">
        <v>39</v>
      </c>
      <c r="G41" s="7" t="s">
        <v>702</v>
      </c>
      <c r="H41" s="17">
        <f>'Reviu Dokumen'!N258</f>
        <v>0</v>
      </c>
      <c r="I41" s="19"/>
    </row>
    <row r="42" spans="2:9" ht="30" x14ac:dyDescent="0.25">
      <c r="B42" s="86"/>
      <c r="C42" s="91"/>
      <c r="D42" s="2" t="s">
        <v>10</v>
      </c>
      <c r="E42" s="16" t="s">
        <v>742</v>
      </c>
      <c r="F42" s="2">
        <v>40</v>
      </c>
      <c r="G42" s="7" t="s">
        <v>703</v>
      </c>
      <c r="H42" s="17">
        <f>'Reviu Dokumen'!N262</f>
        <v>0</v>
      </c>
      <c r="I42" s="20"/>
    </row>
    <row r="43" spans="2:9" ht="30" x14ac:dyDescent="0.25">
      <c r="B43" s="84">
        <v>5</v>
      </c>
      <c r="C43" s="87" t="s">
        <v>704</v>
      </c>
      <c r="D43" s="16" t="s">
        <v>5</v>
      </c>
      <c r="E43" s="7" t="s">
        <v>705</v>
      </c>
      <c r="F43" s="2">
        <v>41</v>
      </c>
      <c r="G43" s="7" t="s">
        <v>705</v>
      </c>
      <c r="H43" s="17">
        <f>'Reviu Dokumen'!N267</f>
        <v>0</v>
      </c>
      <c r="I43" s="18">
        <f>AVERAGE(H43:H44)</f>
        <v>0</v>
      </c>
    </row>
    <row r="44" spans="2:9" x14ac:dyDescent="0.25">
      <c r="B44" s="86"/>
      <c r="C44" s="89"/>
      <c r="D44" s="16" t="s">
        <v>7</v>
      </c>
      <c r="E44" s="16" t="s">
        <v>309</v>
      </c>
      <c r="F44" s="2">
        <v>42</v>
      </c>
      <c r="G44" s="7" t="s">
        <v>310</v>
      </c>
      <c r="H44" s="17">
        <f>'Reviu Dokumen'!N276</f>
        <v>0</v>
      </c>
      <c r="I44" s="20"/>
    </row>
    <row r="45" spans="2:9" ht="8.25" customHeight="1" x14ac:dyDescent="0.25">
      <c r="B45" s="95"/>
      <c r="C45" s="96"/>
      <c r="D45" s="96"/>
      <c r="E45" s="96"/>
      <c r="F45" s="96"/>
      <c r="G45" s="96"/>
      <c r="H45" s="96"/>
      <c r="I45" s="97"/>
    </row>
    <row r="46" spans="2:9" ht="18.75" x14ac:dyDescent="0.25">
      <c r="B46" s="98" t="s">
        <v>706</v>
      </c>
      <c r="C46" s="98"/>
      <c r="D46" s="98"/>
      <c r="E46" s="98"/>
      <c r="F46" s="98"/>
      <c r="G46" s="98"/>
      <c r="H46" s="98"/>
      <c r="I46" s="21">
        <f>AVERAGE(H3:H44)</f>
        <v>0</v>
      </c>
    </row>
    <row r="47" spans="2:9" x14ac:dyDescent="0.25">
      <c r="B47" s="22"/>
      <c r="C47" s="22"/>
      <c r="D47" s="22"/>
      <c r="E47" s="22"/>
      <c r="F47" s="22"/>
      <c r="G47" s="23"/>
      <c r="H47" s="22"/>
      <c r="I47" s="22"/>
    </row>
  </sheetData>
  <mergeCells count="33">
    <mergeCell ref="B43:B44"/>
    <mergeCell ref="C43:C44"/>
    <mergeCell ref="B45:I45"/>
    <mergeCell ref="B46:H46"/>
    <mergeCell ref="B36:B42"/>
    <mergeCell ref="C36:C42"/>
    <mergeCell ref="D37:D39"/>
    <mergeCell ref="E37:E39"/>
    <mergeCell ref="D40:D41"/>
    <mergeCell ref="E40:E41"/>
    <mergeCell ref="B22:B35"/>
    <mergeCell ref="C22:C35"/>
    <mergeCell ref="D22:D28"/>
    <mergeCell ref="E22:E28"/>
    <mergeCell ref="D29:D32"/>
    <mergeCell ref="E29:E32"/>
    <mergeCell ref="D34:D35"/>
    <mergeCell ref="E34:E35"/>
    <mergeCell ref="B6:B21"/>
    <mergeCell ref="C6:C21"/>
    <mergeCell ref="D6:D7"/>
    <mergeCell ref="E6:E7"/>
    <mergeCell ref="D8:D14"/>
    <mergeCell ref="E8:E14"/>
    <mergeCell ref="D15:D21"/>
    <mergeCell ref="E15:E21"/>
    <mergeCell ref="B2:C2"/>
    <mergeCell ref="D2:E2"/>
    <mergeCell ref="F2:G2"/>
    <mergeCell ref="B3:B5"/>
    <mergeCell ref="C3:C5"/>
    <mergeCell ref="D4:D5"/>
    <mergeCell ref="E4:E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493E0-88C8-4C67-BE9D-AEF15D9310B1}">
  <dimension ref="B33:N62"/>
  <sheetViews>
    <sheetView showGridLines="0" topLeftCell="A19" workbookViewId="0">
      <selection activeCell="E44" sqref="E44"/>
    </sheetView>
  </sheetViews>
  <sheetFormatPr defaultRowHeight="15" x14ac:dyDescent="0.25"/>
  <cols>
    <col min="2" max="2" width="12.7109375" customWidth="1"/>
    <col min="3" max="3" width="11" customWidth="1"/>
    <col min="4" max="4" width="32.5703125" customWidth="1"/>
    <col min="5" max="5" width="18.28515625" customWidth="1"/>
    <col min="7" max="7" width="4.7109375" customWidth="1"/>
    <col min="9" max="9" width="17.5703125" customWidth="1"/>
    <col min="11" max="11" width="10.85546875" customWidth="1"/>
    <col min="13" max="13" width="14" customWidth="1"/>
    <col min="18" max="18" width="21.7109375" customWidth="1"/>
  </cols>
  <sheetData>
    <row r="33" spans="2:14" ht="18.75" x14ac:dyDescent="0.25">
      <c r="B33" s="106" t="s">
        <v>707</v>
      </c>
      <c r="C33" s="106"/>
      <c r="D33" s="106"/>
      <c r="E33" s="106"/>
      <c r="F33" s="106"/>
    </row>
    <row r="34" spans="2:14" ht="15.75" x14ac:dyDescent="0.25">
      <c r="B34" s="24" t="s">
        <v>708</v>
      </c>
      <c r="C34" s="24" t="s">
        <v>709</v>
      </c>
      <c r="D34" s="24" t="s">
        <v>710</v>
      </c>
      <c r="E34" s="24" t="s">
        <v>711</v>
      </c>
      <c r="F34" s="24" t="s">
        <v>712</v>
      </c>
    </row>
    <row r="35" spans="2:14" ht="15.75" x14ac:dyDescent="0.25">
      <c r="B35" s="25" t="s">
        <v>713</v>
      </c>
      <c r="C35" s="25">
        <v>1</v>
      </c>
      <c r="D35" s="26" t="s">
        <v>714</v>
      </c>
      <c r="E35" s="27">
        <f>'Score Dimensi'!I3</f>
        <v>0</v>
      </c>
      <c r="F35" s="107"/>
    </row>
    <row r="36" spans="2:14" ht="15.75" x14ac:dyDescent="0.25">
      <c r="B36" s="25" t="s">
        <v>715</v>
      </c>
      <c r="C36" s="25">
        <v>2</v>
      </c>
      <c r="D36" s="26" t="s">
        <v>716</v>
      </c>
      <c r="E36" s="27">
        <f>'Score Dimensi'!I6</f>
        <v>0</v>
      </c>
      <c r="F36" s="108"/>
    </row>
    <row r="37" spans="2:14" ht="15.75" x14ac:dyDescent="0.25">
      <c r="B37" s="25" t="s">
        <v>717</v>
      </c>
      <c r="C37" s="25">
        <v>3</v>
      </c>
      <c r="D37" s="26" t="s">
        <v>718</v>
      </c>
      <c r="E37" s="27">
        <f>'Score Dimensi'!I22</f>
        <v>0</v>
      </c>
      <c r="F37" s="108"/>
    </row>
    <row r="38" spans="2:14" ht="15.75" x14ac:dyDescent="0.25">
      <c r="B38" s="25" t="s">
        <v>719</v>
      </c>
      <c r="C38" s="25">
        <v>4</v>
      </c>
      <c r="D38" s="26" t="s">
        <v>720</v>
      </c>
      <c r="E38" s="27">
        <f>'Score Dimensi'!I36</f>
        <v>0</v>
      </c>
      <c r="F38" s="108"/>
    </row>
    <row r="39" spans="2:14" ht="15.75" x14ac:dyDescent="0.25">
      <c r="B39" s="25" t="s">
        <v>721</v>
      </c>
      <c r="C39" s="25">
        <v>5</v>
      </c>
      <c r="D39" s="26" t="s">
        <v>722</v>
      </c>
      <c r="E39" s="27">
        <f>'Score Dimensi'!I43</f>
        <v>0</v>
      </c>
      <c r="F39" s="109"/>
    </row>
    <row r="40" spans="2:14" ht="24" customHeight="1" x14ac:dyDescent="0.25">
      <c r="B40" s="28" t="s">
        <v>723</v>
      </c>
      <c r="C40" s="110" t="s">
        <v>724</v>
      </c>
      <c r="D40" s="111"/>
      <c r="E40" s="112"/>
      <c r="F40" s="29">
        <f>'Score Dimensi'!I46</f>
        <v>0</v>
      </c>
    </row>
    <row r="42" spans="2:14" ht="18.75" x14ac:dyDescent="0.25">
      <c r="H42" s="106" t="s">
        <v>725</v>
      </c>
      <c r="I42" s="106"/>
      <c r="J42" s="106"/>
      <c r="K42" s="106"/>
      <c r="L42" s="106"/>
      <c r="M42" s="106"/>
      <c r="N42" s="106"/>
    </row>
    <row r="43" spans="2:14" ht="31.5" x14ac:dyDescent="0.25">
      <c r="H43" s="30" t="s">
        <v>726</v>
      </c>
      <c r="I43" s="30" t="s">
        <v>727</v>
      </c>
      <c r="J43" s="30" t="s">
        <v>728</v>
      </c>
      <c r="K43" s="30" t="s">
        <v>729</v>
      </c>
      <c r="L43" s="30" t="s">
        <v>730</v>
      </c>
      <c r="M43" s="30" t="s">
        <v>731</v>
      </c>
      <c r="N43" s="30" t="s">
        <v>712</v>
      </c>
    </row>
    <row r="44" spans="2:14" ht="63" x14ac:dyDescent="0.25">
      <c r="B44" s="43"/>
      <c r="H44" s="31">
        <v>1</v>
      </c>
      <c r="I44" s="32" t="s">
        <v>732</v>
      </c>
      <c r="J44" s="33"/>
      <c r="K44" s="33"/>
      <c r="L44" s="34">
        <v>0.5</v>
      </c>
      <c r="M44" s="35">
        <f>K44*L44</f>
        <v>0</v>
      </c>
      <c r="N44" s="113"/>
    </row>
    <row r="45" spans="2:14" ht="31.5" x14ac:dyDescent="0.25">
      <c r="B45" s="44"/>
      <c r="H45" s="31">
        <v>2</v>
      </c>
      <c r="I45" s="32" t="s">
        <v>733</v>
      </c>
      <c r="J45" s="36"/>
      <c r="K45" s="36"/>
      <c r="L45" s="37">
        <v>0.5</v>
      </c>
      <c r="M45" s="38">
        <f>K45*L45</f>
        <v>0</v>
      </c>
      <c r="N45" s="114"/>
    </row>
    <row r="46" spans="2:14" ht="15.75" x14ac:dyDescent="0.25">
      <c r="H46" s="31" t="s">
        <v>734</v>
      </c>
      <c r="I46" s="100" t="s">
        <v>735</v>
      </c>
      <c r="J46" s="101"/>
      <c r="K46" s="101"/>
      <c r="L46" s="101"/>
      <c r="M46" s="102"/>
      <c r="N46" s="38">
        <f>M44+M45</f>
        <v>0</v>
      </c>
    </row>
    <row r="47" spans="2:14" ht="15.75" x14ac:dyDescent="0.25">
      <c r="B47" s="45"/>
      <c r="H47" s="31"/>
      <c r="I47" s="100" t="s">
        <v>736</v>
      </c>
      <c r="J47" s="101"/>
      <c r="K47" s="101"/>
      <c r="L47" s="101"/>
      <c r="M47" s="102"/>
      <c r="N47" s="36"/>
    </row>
    <row r="48" spans="2:14" ht="30.75" customHeight="1" x14ac:dyDescent="0.25">
      <c r="H48" s="103" t="s">
        <v>737</v>
      </c>
      <c r="I48" s="104"/>
      <c r="J48" s="104"/>
      <c r="K48" s="104"/>
      <c r="L48" s="104"/>
      <c r="M48" s="105"/>
      <c r="N48" s="39">
        <f>F40+N47</f>
        <v>0</v>
      </c>
    </row>
    <row r="55" spans="4:9" x14ac:dyDescent="0.25">
      <c r="I55" s="40"/>
    </row>
    <row r="58" spans="4:9" x14ac:dyDescent="0.25">
      <c r="I58" s="40"/>
    </row>
    <row r="59" spans="4:9" x14ac:dyDescent="0.25">
      <c r="I59" s="40"/>
    </row>
    <row r="60" spans="4:9" ht="63.75" customHeight="1" x14ac:dyDescent="0.25">
      <c r="D60" s="99"/>
      <c r="E60" s="99"/>
    </row>
    <row r="61" spans="4:9" ht="15.75" x14ac:dyDescent="0.25">
      <c r="D61" s="43"/>
    </row>
    <row r="62" spans="4:9" x14ac:dyDescent="0.25">
      <c r="D62" s="46"/>
    </row>
  </sheetData>
  <mergeCells count="9">
    <mergeCell ref="D60:E60"/>
    <mergeCell ref="I47:M47"/>
    <mergeCell ref="H48:M48"/>
    <mergeCell ref="B33:F33"/>
    <mergeCell ref="F35:F39"/>
    <mergeCell ref="C40:E40"/>
    <mergeCell ref="H42:N42"/>
    <mergeCell ref="N44:N45"/>
    <mergeCell ref="I46:M4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05285-9A82-4D55-9A56-7D552A6008F9}">
  <dimension ref="B5:J85"/>
  <sheetViews>
    <sheetView showGridLines="0" workbookViewId="0">
      <selection activeCell="M30" sqref="M30"/>
    </sheetView>
  </sheetViews>
  <sheetFormatPr defaultRowHeight="15" x14ac:dyDescent="0.25"/>
  <cols>
    <col min="3" max="3" width="28.5703125" customWidth="1"/>
    <col min="4" max="4" width="6.85546875" customWidth="1"/>
    <col min="5" max="5" width="36" customWidth="1"/>
    <col min="6" max="6" width="7.85546875" customWidth="1"/>
    <col min="7" max="7" width="21" customWidth="1"/>
    <col min="8" max="8" width="34" customWidth="1"/>
    <col min="9" max="9" width="16.140625" customWidth="1"/>
    <col min="10" max="10" width="19.28515625" customWidth="1"/>
  </cols>
  <sheetData>
    <row r="5" spans="5:10" ht="31.5" x14ac:dyDescent="0.25">
      <c r="E5" s="50" t="s">
        <v>746</v>
      </c>
      <c r="H5" s="50" t="s">
        <v>747</v>
      </c>
      <c r="I5" s="51" t="s">
        <v>748</v>
      </c>
      <c r="J5" s="51" t="s">
        <v>749</v>
      </c>
    </row>
    <row r="10" spans="5:10" ht="36" customHeight="1" x14ac:dyDescent="0.25"/>
    <row r="11" spans="5:10" ht="50.25" customHeight="1" x14ac:dyDescent="0.25"/>
    <row r="12" spans="5:10" ht="53.25" customHeight="1" x14ac:dyDescent="0.25"/>
    <row r="13" spans="5:10" ht="49.5" customHeight="1" x14ac:dyDescent="0.25"/>
    <row r="14" spans="5:10" ht="62.25" customHeight="1" x14ac:dyDescent="0.25"/>
    <row r="20" spans="2:10" ht="32.25" customHeight="1" x14ac:dyDescent="0.25">
      <c r="B20" s="118" t="s">
        <v>750</v>
      </c>
      <c r="C20" s="118"/>
    </row>
    <row r="21" spans="2:10" s="53" customFormat="1" ht="39.75" customHeight="1" x14ac:dyDescent="0.25">
      <c r="B21" s="119" t="s">
        <v>751</v>
      </c>
      <c r="C21" s="119"/>
      <c r="D21" s="119"/>
      <c r="E21" s="119"/>
      <c r="F21" s="119"/>
      <c r="G21" s="119"/>
      <c r="H21" s="119"/>
      <c r="I21" s="119"/>
      <c r="J21" s="119"/>
    </row>
    <row r="22" spans="2:10" s="53" customFormat="1" ht="26.25" customHeight="1" x14ac:dyDescent="0.25">
      <c r="B22" s="115" t="s">
        <v>752</v>
      </c>
      <c r="C22" s="115"/>
      <c r="D22" s="115"/>
      <c r="E22" s="115"/>
      <c r="F22" s="115"/>
      <c r="G22" s="115"/>
      <c r="H22" s="115"/>
      <c r="I22" s="115"/>
      <c r="J22" s="115"/>
    </row>
    <row r="23" spans="2:10" s="53" customFormat="1" ht="39.75" customHeight="1" x14ac:dyDescent="0.25">
      <c r="B23" s="115" t="s">
        <v>753</v>
      </c>
      <c r="C23" s="115"/>
      <c r="D23" s="115"/>
      <c r="E23" s="115"/>
      <c r="F23" s="115"/>
      <c r="G23" s="115"/>
      <c r="H23" s="115"/>
      <c r="I23" s="115"/>
      <c r="J23" s="115"/>
    </row>
    <row r="24" spans="2:10" s="53" customFormat="1" ht="27" customHeight="1" x14ac:dyDescent="0.25">
      <c r="B24" s="115" t="s">
        <v>763</v>
      </c>
      <c r="C24" s="115"/>
      <c r="D24" s="115"/>
      <c r="E24" s="115"/>
      <c r="F24" s="115"/>
      <c r="G24" s="115"/>
      <c r="H24" s="115"/>
      <c r="I24" s="115"/>
      <c r="J24" s="115"/>
    </row>
    <row r="25" spans="2:10" s="54" customFormat="1" ht="27.75" customHeight="1" x14ac:dyDescent="0.25">
      <c r="B25" s="115" t="s">
        <v>754</v>
      </c>
      <c r="C25" s="115"/>
      <c r="D25" s="115"/>
      <c r="E25" s="115"/>
      <c r="F25" s="115"/>
      <c r="G25" s="115"/>
      <c r="H25" s="115"/>
      <c r="I25" s="115"/>
      <c r="J25" s="115"/>
    </row>
    <row r="26" spans="2:10" s="53" customFormat="1" ht="39.75" customHeight="1" x14ac:dyDescent="0.25">
      <c r="B26" s="115" t="s">
        <v>755</v>
      </c>
      <c r="C26" s="115"/>
      <c r="D26" s="115"/>
      <c r="E26" s="115"/>
      <c r="F26" s="115"/>
      <c r="G26" s="115"/>
      <c r="H26" s="115"/>
      <c r="I26" s="115"/>
      <c r="J26" s="115"/>
    </row>
    <row r="27" spans="2:10" s="53" customFormat="1" ht="18.75" customHeight="1" x14ac:dyDescent="0.25">
      <c r="B27" s="52"/>
      <c r="C27" s="52"/>
      <c r="D27" s="52"/>
      <c r="E27" s="52"/>
      <c r="F27" s="52"/>
      <c r="G27" s="52"/>
      <c r="H27" s="52"/>
      <c r="I27" s="52"/>
      <c r="J27" s="52"/>
    </row>
    <row r="29" spans="2:10" ht="44.25" customHeight="1" x14ac:dyDescent="0.25"/>
    <row r="30" spans="2:10" ht="44.25" customHeight="1" x14ac:dyDescent="0.25"/>
    <row r="42" spans="2:9" ht="20.25" customHeight="1" x14ac:dyDescent="0.25"/>
    <row r="43" spans="2:9" ht="33.75" customHeight="1" x14ac:dyDescent="0.25">
      <c r="B43" s="117" t="s">
        <v>762</v>
      </c>
      <c r="C43" s="117"/>
      <c r="D43" s="117"/>
      <c r="E43" s="117"/>
      <c r="F43" s="117"/>
      <c r="G43" s="117"/>
      <c r="H43" s="117"/>
      <c r="I43" s="117"/>
    </row>
    <row r="44" spans="2:9" x14ac:dyDescent="0.25">
      <c r="B44" s="116"/>
      <c r="C44" s="116"/>
      <c r="D44" s="116"/>
      <c r="E44" s="116"/>
      <c r="F44" s="116"/>
      <c r="G44" s="116"/>
      <c r="H44" s="116"/>
      <c r="I44" s="116"/>
    </row>
    <row r="47" spans="2:9" ht="24" customHeight="1" x14ac:dyDescent="0.25"/>
    <row r="48" spans="2:9" ht="36.75" customHeight="1" x14ac:dyDescent="0.25"/>
    <row r="49" spans="2:9" ht="42.75" customHeight="1" x14ac:dyDescent="0.25"/>
    <row r="50" spans="2:9" ht="24" customHeight="1" x14ac:dyDescent="0.25"/>
    <row r="51" spans="2:9" ht="33.75" customHeight="1" x14ac:dyDescent="0.25"/>
    <row r="52" spans="2:9" ht="24" customHeight="1" x14ac:dyDescent="0.25"/>
    <row r="53" spans="2:9" ht="24" customHeight="1" x14ac:dyDescent="0.25"/>
    <row r="54" spans="2:9" ht="24" customHeight="1" x14ac:dyDescent="0.25"/>
    <row r="55" spans="2:9" ht="24" customHeight="1" x14ac:dyDescent="0.25">
      <c r="B55" s="55" t="s">
        <v>756</v>
      </c>
    </row>
    <row r="56" spans="2:9" ht="24" customHeight="1" x14ac:dyDescent="0.25">
      <c r="B56" s="115" t="s">
        <v>757</v>
      </c>
      <c r="C56" s="115"/>
      <c r="D56" s="115"/>
      <c r="E56" s="115"/>
      <c r="F56" s="115"/>
      <c r="G56" s="115"/>
      <c r="H56" s="115"/>
      <c r="I56" s="115"/>
    </row>
    <row r="57" spans="2:9" ht="24" customHeight="1" x14ac:dyDescent="0.25">
      <c r="B57" s="115"/>
      <c r="C57" s="115"/>
      <c r="D57" s="115"/>
      <c r="E57" s="115"/>
      <c r="F57" s="115"/>
      <c r="G57" s="115"/>
      <c r="H57" s="115"/>
      <c r="I57" s="115"/>
    </row>
    <row r="58" spans="2:9" ht="24" customHeight="1" x14ac:dyDescent="0.25">
      <c r="B58" s="115" t="s">
        <v>758</v>
      </c>
      <c r="C58" s="115"/>
      <c r="D58" s="115"/>
      <c r="E58" s="115"/>
      <c r="F58" s="115"/>
      <c r="G58" s="115"/>
      <c r="H58" s="115"/>
      <c r="I58" s="53"/>
    </row>
    <row r="59" spans="2:9" ht="24" customHeight="1" x14ac:dyDescent="0.25"/>
    <row r="60" spans="2:9" ht="24" customHeight="1" x14ac:dyDescent="0.3">
      <c r="B60" s="56" t="s">
        <v>759</v>
      </c>
    </row>
    <row r="62" spans="2:9" ht="24.75" customHeight="1" x14ac:dyDescent="0.25">
      <c r="B62" s="57" t="s">
        <v>760</v>
      </c>
      <c r="C62" s="58"/>
      <c r="D62" s="58"/>
      <c r="E62" s="58"/>
      <c r="F62" s="59"/>
      <c r="G62" s="59"/>
      <c r="H62" s="59"/>
      <c r="I62" s="59"/>
    </row>
    <row r="84" spans="3:5" ht="55.5" customHeight="1" x14ac:dyDescent="0.25">
      <c r="C84" s="99"/>
      <c r="D84" s="99"/>
      <c r="E84" s="99"/>
    </row>
    <row r="85" spans="3:5" ht="36.75" customHeight="1" x14ac:dyDescent="0.25">
      <c r="C85" s="99"/>
      <c r="D85" s="99"/>
      <c r="E85" s="99"/>
    </row>
  </sheetData>
  <mergeCells count="13">
    <mergeCell ref="B22:J22"/>
    <mergeCell ref="B20:C20"/>
    <mergeCell ref="B21:J21"/>
    <mergeCell ref="B23:J23"/>
    <mergeCell ref="B24:J24"/>
    <mergeCell ref="C85:E85"/>
    <mergeCell ref="B56:I57"/>
    <mergeCell ref="B44:I44"/>
    <mergeCell ref="B25:J25"/>
    <mergeCell ref="B26:J26"/>
    <mergeCell ref="B43:I43"/>
    <mergeCell ref="B58:H58"/>
    <mergeCell ref="C84:E8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Judul</vt:lpstr>
      <vt:lpstr>Reviu Dokumen</vt:lpstr>
      <vt:lpstr>Score Dimensi</vt:lpstr>
      <vt:lpstr>Score RMI</vt:lpstr>
      <vt:lpstr>Keterangan Pengisian</vt:lpstr>
      <vt:lpstr>'Reviu Dokumen'!Print_Titles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toviana</dc:creator>
  <cp:lastModifiedBy>andy toviana</cp:lastModifiedBy>
  <cp:lastPrinted>2024-06-23T04:56:30Z</cp:lastPrinted>
  <dcterms:created xsi:type="dcterms:W3CDTF">2024-06-18T07:48:35Z</dcterms:created>
  <dcterms:modified xsi:type="dcterms:W3CDTF">2026-08-18T12:18:50Z</dcterms:modified>
</cp:coreProperties>
</file>